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Vipin\OneDrive\Desktop\Inventory Management System\"/>
    </mc:Choice>
  </mc:AlternateContent>
  <xr:revisionPtr revIDLastSave="0" documentId="13_ncr:1_{8F7F1ED4-099D-4269-9605-EAFEB72A322E}" xr6:coauthVersionLast="47" xr6:coauthVersionMax="47" xr10:uidLastSave="{00000000-0000-0000-0000-000000000000}"/>
  <bookViews>
    <workbookView xWindow="-110" yWindow="-110" windowWidth="19420" windowHeight="11020" xr2:uid="{C71A7765-BCE2-4F7C-AE84-8AB0F40C8F4C}"/>
  </bookViews>
  <sheets>
    <sheet name="Dashboard" sheetId="1" r:id="rId1"/>
    <sheet name="Calculations" sheetId="10" state="hidden" r:id="rId2"/>
    <sheet name="Pivot Table" sheetId="9" r:id="rId3"/>
    <sheet name="Purchase Orders" sheetId="4" r:id="rId4"/>
    <sheet name="Sales" sheetId="5" r:id="rId5"/>
    <sheet name="Inventory Report" sheetId="7" r:id="rId6"/>
    <sheet name="Products" sheetId="2" r:id="rId7"/>
    <sheet name="Suppliers" sheetId="3" r:id="rId8"/>
    <sheet name="Lists" sheetId="8" r:id="rId9"/>
  </sheets>
  <definedNames>
    <definedName name="Slicer_Category">#N/A</definedName>
    <definedName name="Slicer_Customer">#N/A</definedName>
    <definedName name="Slicer_Supplier">#N/A</definedName>
  </definedNames>
  <calcPr calcId="191029"/>
  <pivotCaches>
    <pivotCache cacheId="23" r:id="rId10"/>
    <pivotCache cacheId="32" r:id="rId11"/>
    <pivotCache cacheId="33"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8" i="7" l="1"/>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29" i="5"/>
  <c r="E30" i="5"/>
  <c r="E31" i="5"/>
  <c r="E32" i="4"/>
  <c r="E33" i="4"/>
  <c r="E34" i="4"/>
  <c r="E35" i="4"/>
  <c r="E36" i="4"/>
  <c r="E37" i="4"/>
  <c r="G37" i="4" s="1"/>
  <c r="H37" i="4" s="1"/>
  <c r="E38" i="4"/>
  <c r="E39" i="4"/>
  <c r="E40" i="4"/>
  <c r="G40" i="4" s="1"/>
  <c r="H40" i="4" s="1"/>
  <c r="E41" i="4"/>
  <c r="G41" i="4" s="1"/>
  <c r="H41" i="4" s="1"/>
  <c r="E42" i="4"/>
  <c r="G42" i="4" s="1"/>
  <c r="H42" i="4" s="1"/>
  <c r="E43" i="4"/>
  <c r="G43" i="4" s="1"/>
  <c r="H43" i="4" s="1"/>
  <c r="E44" i="4"/>
  <c r="E45" i="4"/>
  <c r="E46" i="4"/>
  <c r="E47" i="4"/>
  <c r="E48" i="4"/>
  <c r="E49" i="4"/>
  <c r="E50" i="4"/>
  <c r="E51" i="4"/>
  <c r="E52" i="4"/>
  <c r="G52" i="4" s="1"/>
  <c r="H52" i="4" s="1"/>
  <c r="E53" i="4"/>
  <c r="G53" i="4" s="1"/>
  <c r="H53" i="4" s="1"/>
  <c r="E54" i="4"/>
  <c r="G54" i="4" s="1"/>
  <c r="H54" i="4" s="1"/>
  <c r="E55" i="4"/>
  <c r="G55" i="4" s="1"/>
  <c r="H55" i="4" s="1"/>
  <c r="E56" i="4"/>
  <c r="E57" i="4"/>
  <c r="E58" i="4"/>
  <c r="E59" i="4"/>
  <c r="E60" i="4"/>
  <c r="E61"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2" i="4"/>
  <c r="G32" i="4"/>
  <c r="H32" i="4" s="1"/>
  <c r="G33" i="4"/>
  <c r="H33" i="4" s="1"/>
  <c r="G34" i="4"/>
  <c r="H34" i="4" s="1"/>
  <c r="G35" i="4"/>
  <c r="H35" i="4" s="1"/>
  <c r="G36" i="4"/>
  <c r="H36" i="4" s="1"/>
  <c r="G38" i="4"/>
  <c r="H38" i="4" s="1"/>
  <c r="G39" i="4"/>
  <c r="H39" i="4" s="1"/>
  <c r="G44" i="4"/>
  <c r="H44" i="4" s="1"/>
  <c r="G45" i="4"/>
  <c r="H45" i="4" s="1"/>
  <c r="G46" i="4"/>
  <c r="H46" i="4" s="1"/>
  <c r="G47" i="4"/>
  <c r="H47" i="4" s="1"/>
  <c r="G48" i="4"/>
  <c r="H48" i="4" s="1"/>
  <c r="G49" i="4"/>
  <c r="H49" i="4" s="1"/>
  <c r="G50" i="4"/>
  <c r="H50" i="4" s="1"/>
  <c r="G51" i="4"/>
  <c r="H51" i="4" s="1"/>
  <c r="G56" i="4"/>
  <c r="H56" i="4" s="1"/>
  <c r="G57" i="4"/>
  <c r="H57" i="4" s="1"/>
  <c r="G58" i="4"/>
  <c r="H58" i="4" s="1"/>
  <c r="G59" i="4"/>
  <c r="H59" i="4" s="1"/>
  <c r="G60" i="4"/>
  <c r="H60" i="4" s="1"/>
  <c r="G61" i="4"/>
  <c r="H61" i="4" s="1"/>
  <c r="E2" i="5"/>
  <c r="E3" i="5"/>
  <c r="E4" i="5"/>
  <c r="E5" i="5"/>
  <c r="E6" i="5"/>
  <c r="E7" i="5"/>
  <c r="E8" i="5"/>
  <c r="E9" i="5"/>
  <c r="E10" i="5"/>
  <c r="E11" i="5"/>
  <c r="E12" i="5"/>
  <c r="E13" i="5"/>
  <c r="E14" i="5"/>
  <c r="E15" i="5"/>
  <c r="E16" i="5"/>
  <c r="E17" i="5"/>
  <c r="E18" i="5"/>
  <c r="E19" i="5"/>
  <c r="E20" i="5"/>
  <c r="E21" i="5"/>
  <c r="E22" i="5"/>
  <c r="E23" i="5"/>
  <c r="E24" i="5"/>
  <c r="E25" i="5"/>
  <c r="E26" i="5"/>
  <c r="E27" i="5"/>
  <c r="E28" i="5"/>
  <c r="G32" i="5"/>
  <c r="H32" i="5" s="1"/>
  <c r="G33" i="5"/>
  <c r="H33" i="5" s="1"/>
  <c r="G34" i="5"/>
  <c r="H34" i="5" s="1"/>
  <c r="G35" i="5"/>
  <c r="H35" i="5" s="1"/>
  <c r="G36" i="5"/>
  <c r="H36" i="5" s="1"/>
  <c r="G37" i="5"/>
  <c r="H37" i="5" s="1"/>
  <c r="G38" i="5"/>
  <c r="H38" i="5" s="1"/>
  <c r="G39" i="5"/>
  <c r="H39" i="5" s="1"/>
  <c r="G40" i="5"/>
  <c r="H40" i="5" s="1"/>
  <c r="G41" i="5"/>
  <c r="H41" i="5" s="1"/>
  <c r="G42" i="5"/>
  <c r="H42" i="5" s="1"/>
  <c r="G43" i="5"/>
  <c r="H43" i="5" s="1"/>
  <c r="G44" i="5"/>
  <c r="H44" i="5" s="1"/>
  <c r="G45" i="5"/>
  <c r="H45" i="5" s="1"/>
  <c r="G46" i="5"/>
  <c r="H46" i="5" s="1"/>
  <c r="G47" i="5"/>
  <c r="H47" i="5" s="1"/>
  <c r="G48" i="5"/>
  <c r="H48" i="5" s="1"/>
  <c r="G49" i="5"/>
  <c r="H49" i="5" s="1"/>
  <c r="G50" i="5"/>
  <c r="H50" i="5" s="1"/>
  <c r="G51" i="5"/>
  <c r="H51" i="5" s="1"/>
  <c r="G52" i="5"/>
  <c r="H52" i="5" s="1"/>
  <c r="G53" i="5"/>
  <c r="H53" i="5" s="1"/>
  <c r="G54" i="5"/>
  <c r="H54" i="5" s="1"/>
  <c r="G55" i="5"/>
  <c r="H55" i="5" s="1"/>
  <c r="G56" i="5"/>
  <c r="H56" i="5" s="1"/>
  <c r="G57" i="5"/>
  <c r="H57" i="5" s="1"/>
  <c r="G58" i="5"/>
  <c r="H58" i="5" s="1"/>
  <c r="G59" i="5"/>
  <c r="H59" i="5" s="1"/>
  <c r="G60" i="5"/>
  <c r="H60" i="5" s="1"/>
  <c r="G61" i="5"/>
  <c r="H61" i="5" s="1"/>
  <c r="G62" i="5"/>
  <c r="H62" i="5" s="1"/>
  <c r="G63" i="5"/>
  <c r="H63" i="5" s="1"/>
  <c r="G64" i="5"/>
  <c r="H64" i="5" s="1"/>
  <c r="G65" i="5"/>
  <c r="H65" i="5" s="1"/>
  <c r="G66" i="5"/>
  <c r="H66" i="5" s="1"/>
  <c r="G67" i="5"/>
  <c r="H67" i="5" s="1"/>
  <c r="G68" i="5"/>
  <c r="H68" i="5" s="1"/>
  <c r="G69" i="5"/>
  <c r="H69" i="5" s="1"/>
  <c r="G70" i="5"/>
  <c r="H70" i="5" s="1"/>
  <c r="G71" i="5"/>
  <c r="H71" i="5" s="1"/>
  <c r="G72" i="5"/>
  <c r="H72" i="5" s="1"/>
  <c r="G73" i="5"/>
  <c r="H73" i="5" s="1"/>
  <c r="G74" i="5"/>
  <c r="H74" i="5" s="1"/>
  <c r="G75" i="5"/>
  <c r="H75" i="5" s="1"/>
  <c r="G76" i="5"/>
  <c r="H76" i="5" s="1"/>
  <c r="G77" i="5"/>
  <c r="H77" i="5" s="1"/>
  <c r="G78" i="5"/>
  <c r="H78" i="5" s="1"/>
  <c r="G79" i="5"/>
  <c r="H79" i="5" s="1"/>
  <c r="G80" i="5"/>
  <c r="H80" i="5" s="1"/>
  <c r="G81" i="5"/>
  <c r="H81" i="5" s="1"/>
  <c r="G82" i="5"/>
  <c r="H82" i="5" s="1"/>
  <c r="G83" i="5"/>
  <c r="H83" i="5" s="1"/>
  <c r="G84" i="5"/>
  <c r="H84" i="5" s="1"/>
  <c r="G85" i="5"/>
  <c r="H85" i="5" s="1"/>
  <c r="G86" i="5"/>
  <c r="H86" i="5" s="1"/>
  <c r="G87" i="5"/>
  <c r="H87" i="5" s="1"/>
  <c r="G88" i="5"/>
  <c r="H88" i="5" s="1"/>
  <c r="G89" i="5"/>
  <c r="H89" i="5" s="1"/>
  <c r="G90" i="5"/>
  <c r="H90" i="5" s="1"/>
  <c r="G91" i="5"/>
  <c r="H91" i="5" s="1"/>
  <c r="G92" i="5"/>
  <c r="H92" i="5" s="1"/>
  <c r="G93" i="5"/>
  <c r="H93" i="5" s="1"/>
  <c r="G94" i="5"/>
  <c r="H94" i="5" s="1"/>
  <c r="G95" i="5"/>
  <c r="H95" i="5" s="1"/>
  <c r="G96" i="5"/>
  <c r="H96" i="5" s="1"/>
  <c r="G97" i="5"/>
  <c r="H97" i="5" s="1"/>
  <c r="G98" i="5"/>
  <c r="H98" i="5" s="1"/>
  <c r="G99" i="5"/>
  <c r="H99" i="5" s="1"/>
  <c r="G100" i="5"/>
  <c r="H100" i="5" s="1"/>
  <c r="G101" i="5"/>
  <c r="H101" i="5" s="1"/>
  <c r="G102" i="5"/>
  <c r="H102" i="5" s="1"/>
  <c r="G103" i="5"/>
  <c r="H103" i="5" s="1"/>
  <c r="G104" i="5"/>
  <c r="H104" i="5" s="1"/>
  <c r="G105" i="5"/>
  <c r="H105" i="5" s="1"/>
  <c r="G106" i="5"/>
  <c r="H106" i="5" s="1"/>
  <c r="G107" i="5"/>
  <c r="H107" i="5" s="1"/>
  <c r="G108" i="5"/>
  <c r="H108" i="5" s="1"/>
  <c r="G109" i="5"/>
  <c r="H109" i="5" s="1"/>
  <c r="G110" i="5"/>
  <c r="H110" i="5" s="1"/>
  <c r="G111" i="5"/>
  <c r="H111" i="5" s="1"/>
  <c r="G112" i="5"/>
  <c r="H112" i="5" s="1"/>
  <c r="G113" i="5"/>
  <c r="H113" i="5" s="1"/>
  <c r="G114" i="5"/>
  <c r="H114" i="5" s="1"/>
  <c r="G115" i="5"/>
  <c r="H115" i="5" s="1"/>
  <c r="G116" i="5"/>
  <c r="H116" i="5" s="1"/>
  <c r="G117" i="5"/>
  <c r="H117" i="5" s="1"/>
  <c r="G118" i="5"/>
  <c r="H118" i="5" s="1"/>
  <c r="G119" i="5"/>
  <c r="H119" i="5" s="1"/>
  <c r="G120" i="5"/>
  <c r="H120" i="5" s="1"/>
  <c r="G121" i="5"/>
  <c r="H121" i="5" s="1"/>
  <c r="B6" i="1"/>
  <c r="H26" i="7"/>
  <c r="H25" i="7"/>
  <c r="H24" i="7"/>
  <c r="H23" i="7"/>
  <c r="H22" i="7"/>
  <c r="H21" i="7"/>
  <c r="H20" i="7"/>
  <c r="H19" i="7"/>
  <c r="H18" i="7"/>
  <c r="H17" i="7"/>
  <c r="H16" i="7"/>
  <c r="H15" i="7"/>
  <c r="H14" i="7"/>
  <c r="H13" i="7"/>
  <c r="H12" i="7"/>
  <c r="H11" i="7"/>
  <c r="H10" i="7"/>
  <c r="H9" i="7"/>
  <c r="H8" i="7"/>
  <c r="H7" i="7"/>
  <c r="H6" i="7"/>
  <c r="H5" i="7"/>
  <c r="H4" i="7"/>
  <c r="H3" i="7"/>
  <c r="H2" i="7"/>
  <c r="G2" i="7"/>
  <c r="G3" i="7"/>
  <c r="G4" i="7"/>
  <c r="G5" i="7"/>
  <c r="G6" i="7"/>
  <c r="G7" i="7"/>
  <c r="G8" i="7"/>
  <c r="G9" i="7"/>
  <c r="G10" i="7"/>
  <c r="G11" i="7"/>
  <c r="G12" i="7"/>
  <c r="G13" i="7"/>
  <c r="G14" i="7"/>
  <c r="G15" i="7"/>
  <c r="G16" i="7"/>
  <c r="G17" i="7"/>
  <c r="G18" i="7"/>
  <c r="G19" i="7"/>
  <c r="G20" i="7"/>
  <c r="G21" i="7"/>
  <c r="G22" i="7"/>
  <c r="G23" i="7"/>
  <c r="G24" i="7"/>
  <c r="G25" i="7"/>
  <c r="G26" i="7"/>
  <c r="B3" i="10"/>
  <c r="F4" i="7" l="1"/>
  <c r="F5" i="7"/>
  <c r="F13" i="7"/>
  <c r="F14" i="7"/>
  <c r="F15" i="7"/>
  <c r="F16" i="7"/>
  <c r="F25" i="7"/>
  <c r="F26" i="7"/>
  <c r="E2" i="7"/>
  <c r="E3" i="7"/>
  <c r="E4" i="7"/>
  <c r="E5" i="7"/>
  <c r="E6" i="7"/>
  <c r="E12" i="7"/>
  <c r="E13" i="7"/>
  <c r="E16" i="7"/>
  <c r="E17" i="7"/>
  <c r="E18" i="7"/>
  <c r="E19" i="7"/>
  <c r="E20" i="7"/>
  <c r="E24" i="7"/>
  <c r="G2" i="5"/>
  <c r="H2" i="5" s="1"/>
  <c r="G3" i="5"/>
  <c r="H3" i="5" s="1"/>
  <c r="G4" i="5"/>
  <c r="H4" i="5" s="1"/>
  <c r="G5" i="5"/>
  <c r="H5" i="5" s="1"/>
  <c r="G6" i="5"/>
  <c r="H6" i="5" s="1"/>
  <c r="G7" i="5"/>
  <c r="H7" i="5" s="1"/>
  <c r="G8" i="5"/>
  <c r="H8" i="5" s="1"/>
  <c r="G9" i="5"/>
  <c r="H9" i="5" s="1"/>
  <c r="G10" i="5"/>
  <c r="H10" i="5" s="1"/>
  <c r="G11" i="5"/>
  <c r="H11" i="5" s="1"/>
  <c r="G12" i="5"/>
  <c r="H12" i="5" s="1"/>
  <c r="G13" i="5"/>
  <c r="H13" i="5" s="1"/>
  <c r="G14" i="5"/>
  <c r="H14" i="5" s="1"/>
  <c r="G15" i="5"/>
  <c r="H15" i="5" s="1"/>
  <c r="G16" i="5"/>
  <c r="H16" i="5" s="1"/>
  <c r="G17" i="5"/>
  <c r="H17" i="5" s="1"/>
  <c r="G18" i="5"/>
  <c r="H18" i="5" s="1"/>
  <c r="G19" i="5"/>
  <c r="H19" i="5" s="1"/>
  <c r="G20" i="5"/>
  <c r="H20" i="5" s="1"/>
  <c r="G21" i="5"/>
  <c r="H21" i="5" s="1"/>
  <c r="G22" i="5"/>
  <c r="H22" i="5" s="1"/>
  <c r="G23" i="5"/>
  <c r="H23" i="5" s="1"/>
  <c r="G24" i="5"/>
  <c r="H24" i="5" s="1"/>
  <c r="G25" i="5"/>
  <c r="H25" i="5" s="1"/>
  <c r="G26" i="5"/>
  <c r="H26" i="5" s="1"/>
  <c r="G27" i="5"/>
  <c r="H27" i="5" s="1"/>
  <c r="G28" i="5"/>
  <c r="H28" i="5" s="1"/>
  <c r="G29" i="5"/>
  <c r="H29" i="5" s="1"/>
  <c r="G30" i="5"/>
  <c r="H30" i="5" s="1"/>
  <c r="G31" i="5"/>
  <c r="H31" i="5" s="1"/>
  <c r="H2" i="4"/>
  <c r="G6" i="4"/>
  <c r="H6" i="4" s="1"/>
  <c r="G7" i="4"/>
  <c r="H7" i="4" s="1"/>
  <c r="G8" i="4"/>
  <c r="H8" i="4" s="1"/>
  <c r="G9" i="4"/>
  <c r="H9" i="4" s="1"/>
  <c r="G10" i="4"/>
  <c r="H10" i="4" s="1"/>
  <c r="G11" i="4"/>
  <c r="H11" i="4" s="1"/>
  <c r="G18" i="4"/>
  <c r="H18" i="4" s="1"/>
  <c r="G19" i="4"/>
  <c r="H19" i="4" s="1"/>
  <c r="G20" i="4"/>
  <c r="H20" i="4" s="1"/>
  <c r="G21" i="4"/>
  <c r="H21" i="4" s="1"/>
  <c r="G22" i="4"/>
  <c r="H22" i="4" s="1"/>
  <c r="G23" i="4"/>
  <c r="H23" i="4" s="1"/>
  <c r="G30" i="4"/>
  <c r="H30" i="4" s="1"/>
  <c r="G31" i="4"/>
  <c r="H31" i="4" s="1"/>
  <c r="G2" i="4"/>
  <c r="G3" i="4"/>
  <c r="H3" i="4" s="1"/>
  <c r="G4" i="4"/>
  <c r="H4" i="4" s="1"/>
  <c r="G5" i="4"/>
  <c r="H5" i="4" s="1"/>
  <c r="G12" i="4"/>
  <c r="H12" i="4" s="1"/>
  <c r="G13" i="4"/>
  <c r="H13" i="4" s="1"/>
  <c r="G14" i="4"/>
  <c r="H14" i="4" s="1"/>
  <c r="G15" i="4"/>
  <c r="H15" i="4" s="1"/>
  <c r="G16" i="4"/>
  <c r="H16" i="4" s="1"/>
  <c r="G17" i="4"/>
  <c r="H17" i="4" s="1"/>
  <c r="G24" i="4"/>
  <c r="H24" i="4" s="1"/>
  <c r="G25" i="4"/>
  <c r="H25" i="4" s="1"/>
  <c r="G26" i="4"/>
  <c r="H26" i="4" s="1"/>
  <c r="G27" i="4"/>
  <c r="H27" i="4" s="1"/>
  <c r="G28" i="4"/>
  <c r="H28" i="4" s="1"/>
  <c r="G29" i="4"/>
  <c r="H29" i="4" s="1"/>
  <c r="C12" i="7"/>
  <c r="C13" i="7"/>
  <c r="C24" i="7"/>
  <c r="C25" i="7"/>
  <c r="A2" i="7"/>
  <c r="C2" i="7" s="1"/>
  <c r="A3" i="7"/>
  <c r="C3" i="7" s="1"/>
  <c r="A4" i="7"/>
  <c r="D4" i="7" s="1"/>
  <c r="A5" i="7"/>
  <c r="C5" i="7" s="1"/>
  <c r="A6" i="7"/>
  <c r="C6" i="7" s="1"/>
  <c r="A7" i="7"/>
  <c r="C7" i="7" s="1"/>
  <c r="A8" i="7"/>
  <c r="C8" i="7" s="1"/>
  <c r="A9" i="7"/>
  <c r="E9" i="7" s="1"/>
  <c r="A10" i="7"/>
  <c r="F10" i="7" s="1"/>
  <c r="A11" i="7"/>
  <c r="F11" i="7" s="1"/>
  <c r="A12" i="7"/>
  <c r="F12" i="7" s="1"/>
  <c r="A13" i="7"/>
  <c r="D13" i="7" s="1"/>
  <c r="A14" i="7"/>
  <c r="C14" i="7" s="1"/>
  <c r="A15" i="7"/>
  <c r="C15" i="7" s="1"/>
  <c r="A16" i="7"/>
  <c r="D16" i="7" s="1"/>
  <c r="A17" i="7"/>
  <c r="C17" i="7" s="1"/>
  <c r="A18" i="7"/>
  <c r="D18" i="7" s="1"/>
  <c r="A19" i="7"/>
  <c r="D19" i="7" s="1"/>
  <c r="A20" i="7"/>
  <c r="C20" i="7" s="1"/>
  <c r="A21" i="7"/>
  <c r="E21" i="7" s="1"/>
  <c r="A22" i="7"/>
  <c r="F22" i="7" s="1"/>
  <c r="A23" i="7"/>
  <c r="D23" i="7" s="1"/>
  <c r="A24" i="7"/>
  <c r="F24" i="7" s="1"/>
  <c r="A25" i="7"/>
  <c r="D25" i="7" s="1"/>
  <c r="A26" i="7"/>
  <c r="C26" i="7" s="1"/>
  <c r="B26" i="7"/>
  <c r="B6" i="7"/>
  <c r="B7" i="7"/>
  <c r="B8" i="7"/>
  <c r="B9" i="7"/>
  <c r="B10" i="7"/>
  <c r="B11" i="7"/>
  <c r="B12" i="7"/>
  <c r="B13" i="7"/>
  <c r="B14" i="7"/>
  <c r="B15" i="7"/>
  <c r="B16" i="7"/>
  <c r="B17" i="7"/>
  <c r="B18" i="7"/>
  <c r="B19" i="7"/>
  <c r="B20" i="7"/>
  <c r="B21" i="7"/>
  <c r="B22" i="7"/>
  <c r="B23" i="7"/>
  <c r="B24" i="7"/>
  <c r="B25" i="7"/>
  <c r="B3" i="7"/>
  <c r="B4" i="7"/>
  <c r="B5" i="7"/>
  <c r="B2" i="7"/>
  <c r="B8" i="10" l="1"/>
  <c r="F12" i="1" s="1"/>
  <c r="B9" i="10"/>
  <c r="J12" i="1" s="1"/>
  <c r="F8" i="7"/>
  <c r="E15" i="7"/>
  <c r="F7" i="7"/>
  <c r="I16" i="7"/>
  <c r="J16" i="7" s="1"/>
  <c r="I4" i="7"/>
  <c r="E14" i="7"/>
  <c r="F21" i="7"/>
  <c r="F6" i="7"/>
  <c r="F20" i="7"/>
  <c r="F19" i="7"/>
  <c r="I19" i="7" s="1"/>
  <c r="J19" i="7" s="1"/>
  <c r="I13" i="7"/>
  <c r="J13" i="7" s="1"/>
  <c r="D24" i="7"/>
  <c r="E26" i="7"/>
  <c r="E8" i="7"/>
  <c r="F18" i="7"/>
  <c r="I18" i="7" s="1"/>
  <c r="F3" i="7"/>
  <c r="I3" i="7" s="1"/>
  <c r="J3" i="7" s="1"/>
  <c r="F9" i="7"/>
  <c r="D12" i="7"/>
  <c r="E25" i="7"/>
  <c r="I25" i="7" s="1"/>
  <c r="J25" i="7" s="1"/>
  <c r="E7" i="7"/>
  <c r="F17" i="7"/>
  <c r="F2" i="7"/>
  <c r="E16" i="10"/>
  <c r="I24" i="7"/>
  <c r="J24" i="7" s="1"/>
  <c r="I12" i="7"/>
  <c r="J12" i="7" s="1"/>
  <c r="D11" i="7"/>
  <c r="C23" i="7"/>
  <c r="C10" i="7"/>
  <c r="C21" i="7"/>
  <c r="C11" i="7"/>
  <c r="C22" i="7"/>
  <c r="D22" i="7"/>
  <c r="D21" i="7"/>
  <c r="D20" i="7"/>
  <c r="D8" i="7"/>
  <c r="C9" i="7"/>
  <c r="D7" i="7"/>
  <c r="C19" i="7"/>
  <c r="C18" i="7"/>
  <c r="D15" i="7"/>
  <c r="I15" i="7" s="1"/>
  <c r="J15" i="7" s="1"/>
  <c r="D3" i="7"/>
  <c r="C16" i="7"/>
  <c r="C4" i="7"/>
  <c r="E23" i="7"/>
  <c r="E11" i="7"/>
  <c r="D26" i="7"/>
  <c r="D14" i="7"/>
  <c r="D2" i="7"/>
  <c r="E22" i="7"/>
  <c r="E10" i="7"/>
  <c r="F23" i="7"/>
  <c r="D10" i="7"/>
  <c r="D9" i="7"/>
  <c r="D6" i="7"/>
  <c r="D17" i="7"/>
  <c r="D5" i="7"/>
  <c r="I5" i="7" s="1"/>
  <c r="J5" i="7" s="1"/>
  <c r="I11" i="7" l="1"/>
  <c r="J11" i="7" s="1"/>
  <c r="K13" i="7"/>
  <c r="I10" i="7"/>
  <c r="J10" i="7" s="1"/>
  <c r="I14" i="7"/>
  <c r="J14" i="7" s="1"/>
  <c r="I26" i="7"/>
  <c r="J26" i="7" s="1"/>
  <c r="I8" i="7"/>
  <c r="J8" i="7" s="1"/>
  <c r="I2" i="7"/>
  <c r="J2" i="7" s="1"/>
  <c r="K16" i="7"/>
  <c r="E19" i="10"/>
  <c r="E21" i="10"/>
  <c r="J18" i="7"/>
  <c r="E7" i="10"/>
  <c r="J4" i="7"/>
  <c r="K4" i="7"/>
  <c r="E22" i="10"/>
  <c r="K19" i="7"/>
  <c r="K25" i="7"/>
  <c r="E28" i="10"/>
  <c r="I20" i="7"/>
  <c r="I21" i="7"/>
  <c r="J21" i="7" s="1"/>
  <c r="K18" i="7"/>
  <c r="I7" i="7"/>
  <c r="J7" i="7" s="1"/>
  <c r="I23" i="7"/>
  <c r="I17" i="7"/>
  <c r="J17" i="7" s="1"/>
  <c r="I6" i="7"/>
  <c r="J6" i="7" s="1"/>
  <c r="I9" i="7"/>
  <c r="J9" i="7" s="1"/>
  <c r="E13" i="10"/>
  <c r="K10" i="7"/>
  <c r="K26" i="7"/>
  <c r="E27" i="10"/>
  <c r="K24" i="7"/>
  <c r="E8" i="10"/>
  <c r="K5" i="7"/>
  <c r="E14" i="10"/>
  <c r="K14" i="7"/>
  <c r="E15" i="10"/>
  <c r="K12" i="7"/>
  <c r="I22" i="7"/>
  <c r="E18" i="10"/>
  <c r="K15" i="7"/>
  <c r="E6" i="10"/>
  <c r="K3" i="7"/>
  <c r="E11" i="10" l="1"/>
  <c r="E29" i="10"/>
  <c r="K11" i="7"/>
  <c r="K7" i="7"/>
  <c r="E10" i="10"/>
  <c r="K21" i="7"/>
  <c r="K2" i="7"/>
  <c r="K6" i="7"/>
  <c r="E5" i="10"/>
  <c r="K8" i="7"/>
  <c r="E17" i="10"/>
  <c r="E9" i="10"/>
  <c r="K9" i="7"/>
  <c r="B5" i="10"/>
  <c r="J6" i="1" s="1"/>
  <c r="J22" i="7"/>
  <c r="K17" i="7"/>
  <c r="E26" i="10"/>
  <c r="J23" i="7"/>
  <c r="E20" i="10"/>
  <c r="E12" i="10"/>
  <c r="E24" i="10"/>
  <c r="E23" i="10"/>
  <c r="J20" i="7"/>
  <c r="K23" i="7"/>
  <c r="K20" i="7"/>
  <c r="E25" i="10"/>
  <c r="K22" i="7"/>
  <c r="B4" i="10" l="1"/>
  <c r="F6" i="1" s="1"/>
  <c r="B10" i="10"/>
  <c r="N12" i="1" s="1"/>
  <c r="B6" i="10"/>
  <c r="N6" i="1" s="1"/>
  <c r="B7" i="10"/>
  <c r="B12" i="1" s="1"/>
</calcChain>
</file>

<file path=xl/sharedStrings.xml><?xml version="1.0" encoding="utf-8"?>
<sst xmlns="http://schemas.openxmlformats.org/spreadsheetml/2006/main" count="1123" uniqueCount="392">
  <si>
    <t>Product ID</t>
  </si>
  <si>
    <t>Product Name</t>
  </si>
  <si>
    <t>Category</t>
  </si>
  <si>
    <t>Unit</t>
  </si>
  <si>
    <t>Cost Price</t>
  </si>
  <si>
    <t>Selling Price</t>
  </si>
  <si>
    <t>Reorder Level</t>
  </si>
  <si>
    <t>Opening Stock</t>
  </si>
  <si>
    <t>Supplier ID</t>
  </si>
  <si>
    <t>Supplier Name</t>
  </si>
  <si>
    <t>Contact Person</t>
  </si>
  <si>
    <t>Phone</t>
  </si>
  <si>
    <t>Email</t>
  </si>
  <si>
    <t>GSTIN</t>
  </si>
  <si>
    <t>City</t>
  </si>
  <si>
    <t>Date</t>
  </si>
  <si>
    <t>Supplier</t>
  </si>
  <si>
    <t>Product</t>
  </si>
  <si>
    <t>Qty Purchased</t>
  </si>
  <si>
    <t>Total Cost</t>
  </si>
  <si>
    <t>P001</t>
  </si>
  <si>
    <t>Wireless Mouse</t>
  </si>
  <si>
    <t>Electronics</t>
  </si>
  <si>
    <t>Piece</t>
  </si>
  <si>
    <t>P002</t>
  </si>
  <si>
    <t>Wireless Keyboard</t>
  </si>
  <si>
    <t>P003</t>
  </si>
  <si>
    <t>USB Flash Drive 32GB</t>
  </si>
  <si>
    <t>P004</t>
  </si>
  <si>
    <t>External Hard Drive 1TB</t>
  </si>
  <si>
    <t>P005</t>
  </si>
  <si>
    <t>HDMI Cable</t>
  </si>
  <si>
    <t>P006</t>
  </si>
  <si>
    <t>Notebook A5</t>
  </si>
  <si>
    <t>Stationery</t>
  </si>
  <si>
    <t>P007</t>
  </si>
  <si>
    <t>Ball Pen</t>
  </si>
  <si>
    <t>P008</t>
  </si>
  <si>
    <t>Stapler</t>
  </si>
  <si>
    <t>P009</t>
  </si>
  <si>
    <t>Printer Paper (500 Sheets)</t>
  </si>
  <si>
    <t>Pack</t>
  </si>
  <si>
    <t>P010</t>
  </si>
  <si>
    <t>Highlighter Set</t>
  </si>
  <si>
    <t>P011</t>
  </si>
  <si>
    <t>Office Chair</t>
  </si>
  <si>
    <t>Furniture</t>
  </si>
  <si>
    <t>P012</t>
  </si>
  <si>
    <t>Study Table</t>
  </si>
  <si>
    <t>P013</t>
  </si>
  <si>
    <t>Bookshelf</t>
  </si>
  <si>
    <t>P014</t>
  </si>
  <si>
    <t>LED Desk Lamp</t>
  </si>
  <si>
    <t>P015</t>
  </si>
  <si>
    <t>Storage Cabinet</t>
  </si>
  <si>
    <t>P016</t>
  </si>
  <si>
    <t>Water Bottle 1L</t>
  </si>
  <si>
    <t>Accessories</t>
  </si>
  <si>
    <t>P017</t>
  </si>
  <si>
    <t>Laptop Backpack</t>
  </si>
  <si>
    <t>P018</t>
  </si>
  <si>
    <t>Mobile Stand</t>
  </si>
  <si>
    <t>P019</t>
  </si>
  <si>
    <t>Power Bank 10000mAh</t>
  </si>
  <si>
    <t>P020</t>
  </si>
  <si>
    <t>Bluetooth Speaker</t>
  </si>
  <si>
    <t>P021</t>
  </si>
  <si>
    <t>Whiteboard Marker</t>
  </si>
  <si>
    <t>P022</t>
  </si>
  <si>
    <t>Calculator</t>
  </si>
  <si>
    <t>P023</t>
  </si>
  <si>
    <t>Extension Board</t>
  </si>
  <si>
    <t>P024</t>
  </si>
  <si>
    <t>File Folder</t>
  </si>
  <si>
    <t>P025</t>
  </si>
  <si>
    <t>Desk Organizer</t>
  </si>
  <si>
    <t>S001</t>
  </si>
  <si>
    <t>TechSource India</t>
  </si>
  <si>
    <t>Amit Sharma</t>
  </si>
  <si>
    <t>sales@techsource.in</t>
  </si>
  <si>
    <t>27ABCDE1234F1Z5</t>
  </si>
  <si>
    <t>Mumbai</t>
  </si>
  <si>
    <t>S002</t>
  </si>
  <si>
    <t>Prime Office Supplies</t>
  </si>
  <si>
    <t>Neha Patel</t>
  </si>
  <si>
    <t>info@primeoffice.in</t>
  </si>
  <si>
    <t>27FGHIJ5678K1Z2</t>
  </si>
  <si>
    <t>Pune</t>
  </si>
  <si>
    <t>S003</t>
  </si>
  <si>
    <t>Metro Traders</t>
  </si>
  <si>
    <t>Rahul Verma</t>
  </si>
  <si>
    <t>sales@metrotraders.in</t>
  </si>
  <si>
    <t>29LMNOP4321Q1Z8</t>
  </si>
  <si>
    <t>Bengaluru</t>
  </si>
  <si>
    <t>S004</t>
  </si>
  <si>
    <t>Elite Electronics</t>
  </si>
  <si>
    <t>Sneha Joshi</t>
  </si>
  <si>
    <t>contact@eliteelectronics.in</t>
  </si>
  <si>
    <t>24QRSTU9876V1Z3</t>
  </si>
  <si>
    <t>Ahmedabad</t>
  </si>
  <si>
    <t>S005</t>
  </si>
  <si>
    <t>Bright Stationers</t>
  </si>
  <si>
    <t>Karan Mehta</t>
  </si>
  <si>
    <t>support@brightstationers.in</t>
  </si>
  <si>
    <t>07WXYZA6543B1Z7</t>
  </si>
  <si>
    <t>Delhi</t>
  </si>
  <si>
    <t>S006</t>
  </si>
  <si>
    <t>Office World Distributors</t>
  </si>
  <si>
    <t>Priya Nair</t>
  </si>
  <si>
    <t>sales@officeworld.in</t>
  </si>
  <si>
    <t>32CDEFG1122H1Z9</t>
  </si>
  <si>
    <t>Kochi</t>
  </si>
  <si>
    <t>S007</t>
  </si>
  <si>
    <t>SmartTech Solutions</t>
  </si>
  <si>
    <t>Rohan Kulkarni</t>
  </si>
  <si>
    <t>info@smarttech.in</t>
  </si>
  <si>
    <t>27JKLMN3344P1Z6</t>
  </si>
  <si>
    <t>Nashik</t>
  </si>
  <si>
    <t>S008</t>
  </si>
  <si>
    <t>Urban Furniture Hub</t>
  </si>
  <si>
    <t>Vivek Singh</t>
  </si>
  <si>
    <t>orders@urbanfurniture.in</t>
  </si>
  <si>
    <t>27QRSTU7788A1Z4</t>
  </si>
  <si>
    <t>S009</t>
  </si>
  <si>
    <t>Alpha Office Mart</t>
  </si>
  <si>
    <t>Pooja Shah</t>
  </si>
  <si>
    <t>contact@alphaoffice.in</t>
  </si>
  <si>
    <t>24UVWXY5566C1Z2</t>
  </si>
  <si>
    <t>Surat</t>
  </si>
  <si>
    <t>S010</t>
  </si>
  <si>
    <t>National Supply Co.</t>
  </si>
  <si>
    <t>Sandeep Gupta</t>
  </si>
  <si>
    <t>sales@nationalsupply.in</t>
  </si>
  <si>
    <t>09ABCDE9988D1Z1</t>
  </si>
  <si>
    <t>Lucknow</t>
  </si>
  <si>
    <t>S011</t>
  </si>
  <si>
    <t>Galaxy Wholesale</t>
  </si>
  <si>
    <t>Meera Iyer</t>
  </si>
  <si>
    <t>support@galaxywholesale.in</t>
  </si>
  <si>
    <t>33FGHIJ7766E1Z5</t>
  </si>
  <si>
    <t>Chennai</t>
  </si>
  <si>
    <t>S012</t>
  </si>
  <si>
    <t>Zenith Business Supplies</t>
  </si>
  <si>
    <t>Arjun Rao</t>
  </si>
  <si>
    <t>hello@zenithsupplies.in</t>
  </si>
  <si>
    <t>29KLMNO4455F1Z8</t>
  </si>
  <si>
    <t>Hyderabad</t>
  </si>
  <si>
    <t>Customer</t>
  </si>
  <si>
    <t>Qty Sold</t>
  </si>
  <si>
    <t>Total Sales</t>
  </si>
  <si>
    <t>Customer ID</t>
  </si>
  <si>
    <t>Customer Name</t>
  </si>
  <si>
    <t>C001</t>
  </si>
  <si>
    <t>Apex Retail</t>
  </si>
  <si>
    <t>C002</t>
  </si>
  <si>
    <t>Bright Stores</t>
  </si>
  <si>
    <t>C003</t>
  </si>
  <si>
    <t>City Mart</t>
  </si>
  <si>
    <t>C004</t>
  </si>
  <si>
    <t>Elite Traders</t>
  </si>
  <si>
    <t>C005</t>
  </si>
  <si>
    <t>Future Electronics</t>
  </si>
  <si>
    <t>C006</t>
  </si>
  <si>
    <t>Global Supplies</t>
  </si>
  <si>
    <t>C007</t>
  </si>
  <si>
    <t>Metro Bazaar</t>
  </si>
  <si>
    <t>C008</t>
  </si>
  <si>
    <t>Nova Enterprises</t>
  </si>
  <si>
    <t>C009</t>
  </si>
  <si>
    <t>Prime Retailers</t>
  </si>
  <si>
    <t>C010</t>
  </si>
  <si>
    <t>Sunrise Distributors</t>
  </si>
  <si>
    <t>Jaipur</t>
  </si>
  <si>
    <t>Purchased Qty</t>
  </si>
  <si>
    <t>Sold Qty</t>
  </si>
  <si>
    <t>Current Stock</t>
  </si>
  <si>
    <t>Inventory Value</t>
  </si>
  <si>
    <t>Stock Status</t>
  </si>
  <si>
    <t>PO No</t>
  </si>
  <si>
    <t>PO001</t>
  </si>
  <si>
    <t>PO002</t>
  </si>
  <si>
    <t>PO003</t>
  </si>
  <si>
    <t>PO004</t>
  </si>
  <si>
    <t>PO005</t>
  </si>
  <si>
    <t>PO006</t>
  </si>
  <si>
    <t>PO007</t>
  </si>
  <si>
    <t>PO008</t>
  </si>
  <si>
    <t>PO009</t>
  </si>
  <si>
    <t>PO010</t>
  </si>
  <si>
    <t>PO011</t>
  </si>
  <si>
    <t>PO012</t>
  </si>
  <si>
    <t>PO013</t>
  </si>
  <si>
    <t>PO014</t>
  </si>
  <si>
    <t>PO015</t>
  </si>
  <si>
    <t>PO016</t>
  </si>
  <si>
    <t>PO017</t>
  </si>
  <si>
    <t>PO018</t>
  </si>
  <si>
    <t>PO019</t>
  </si>
  <si>
    <t>PO020</t>
  </si>
  <si>
    <t>PO021</t>
  </si>
  <si>
    <t>PO022</t>
  </si>
  <si>
    <t>PO023</t>
  </si>
  <si>
    <t>PO024</t>
  </si>
  <si>
    <t>PO025</t>
  </si>
  <si>
    <t>PO026</t>
  </si>
  <si>
    <t>PO027</t>
  </si>
  <si>
    <t>PO028</t>
  </si>
  <si>
    <t>PO029</t>
  </si>
  <si>
    <t>PO030</t>
  </si>
  <si>
    <t>Invoice No</t>
  </si>
  <si>
    <t>INV001</t>
  </si>
  <si>
    <t>INV002</t>
  </si>
  <si>
    <t>INV003</t>
  </si>
  <si>
    <t>INV004</t>
  </si>
  <si>
    <t>INV005</t>
  </si>
  <si>
    <t>INV006</t>
  </si>
  <si>
    <t>INV007</t>
  </si>
  <si>
    <t>INV008</t>
  </si>
  <si>
    <t>INV009</t>
  </si>
  <si>
    <t>INV010</t>
  </si>
  <si>
    <t>INV011</t>
  </si>
  <si>
    <t>INV012</t>
  </si>
  <si>
    <t>INV013</t>
  </si>
  <si>
    <t>INV014</t>
  </si>
  <si>
    <t>INV015</t>
  </si>
  <si>
    <t>INV016</t>
  </si>
  <si>
    <t>INV017</t>
  </si>
  <si>
    <t>INV018</t>
  </si>
  <si>
    <t>INV019</t>
  </si>
  <si>
    <t>INV020</t>
  </si>
  <si>
    <t>INV021</t>
  </si>
  <si>
    <t>INV022</t>
  </si>
  <si>
    <t>INV023</t>
  </si>
  <si>
    <t>INV024</t>
  </si>
  <si>
    <t>INV025</t>
  </si>
  <si>
    <t>INV026</t>
  </si>
  <si>
    <t>INV027</t>
  </si>
  <si>
    <t>INV028</t>
  </si>
  <si>
    <t>INV029</t>
  </si>
  <si>
    <t>INV030</t>
  </si>
  <si>
    <t>Total Products</t>
  </si>
  <si>
    <t>Low Stock</t>
  </si>
  <si>
    <t>Out of Stock</t>
  </si>
  <si>
    <t>KPI</t>
  </si>
  <si>
    <t>Hint</t>
  </si>
  <si>
    <t>Units in Stock</t>
  </si>
  <si>
    <t>Purchase Value</t>
  </si>
  <si>
    <t>Sales Value</t>
  </si>
  <si>
    <t>Estimated Profit in Inventory</t>
  </si>
  <si>
    <t xml:space="preserve">Sales Value of Current Stock </t>
  </si>
  <si>
    <t>Cost Value</t>
  </si>
  <si>
    <t>Row Labels</t>
  </si>
  <si>
    <t>Grand Total</t>
  </si>
  <si>
    <t>Sum of Current Stock</t>
  </si>
  <si>
    <t>Sum of Inventory Value</t>
  </si>
  <si>
    <t>Jan</t>
  </si>
  <si>
    <t>Feb</t>
  </si>
  <si>
    <t>Sum of Total Cost</t>
  </si>
  <si>
    <t>Sum of Total Sales</t>
  </si>
  <si>
    <t>📦 Total Products</t>
  </si>
  <si>
    <t>🛒 Purchases</t>
  </si>
  <si>
    <t>⚠ Low Stock</t>
  </si>
  <si>
    <t>🚫 Out of Stock</t>
  </si>
  <si>
    <t xml:space="preserve">Data Till - </t>
  </si>
  <si>
    <t>Inventory Management &amp; Stock Analysis Dashboard</t>
  </si>
  <si>
    <t>📈 Potential Gross Profit</t>
  </si>
  <si>
    <t>💰 Sales</t>
  </si>
  <si>
    <t>🏬 Inventory Value</t>
  </si>
  <si>
    <t>📚 Inventory Count</t>
  </si>
  <si>
    <t>INV031</t>
  </si>
  <si>
    <t>INV032</t>
  </si>
  <si>
    <t>INV033</t>
  </si>
  <si>
    <t>INV034</t>
  </si>
  <si>
    <t>INV035</t>
  </si>
  <si>
    <t>INV036</t>
  </si>
  <si>
    <t>INV037</t>
  </si>
  <si>
    <t>INV038</t>
  </si>
  <si>
    <t>INV039</t>
  </si>
  <si>
    <t>INV040</t>
  </si>
  <si>
    <t>INV041</t>
  </si>
  <si>
    <t>INV042</t>
  </si>
  <si>
    <t>INV043</t>
  </si>
  <si>
    <t>INV044</t>
  </si>
  <si>
    <t>INV045</t>
  </si>
  <si>
    <t>INV046</t>
  </si>
  <si>
    <t>INV047</t>
  </si>
  <si>
    <t>INV048</t>
  </si>
  <si>
    <t>INV049</t>
  </si>
  <si>
    <t>INV050</t>
  </si>
  <si>
    <t>INV051</t>
  </si>
  <si>
    <t>INV052</t>
  </si>
  <si>
    <t>INV053</t>
  </si>
  <si>
    <t>INV054</t>
  </si>
  <si>
    <t>INV055</t>
  </si>
  <si>
    <t>INV056</t>
  </si>
  <si>
    <t>INV057</t>
  </si>
  <si>
    <t>INV058</t>
  </si>
  <si>
    <t>INV059</t>
  </si>
  <si>
    <t>INV060</t>
  </si>
  <si>
    <t>INV061</t>
  </si>
  <si>
    <t>INV062</t>
  </si>
  <si>
    <t>INV063</t>
  </si>
  <si>
    <t>INV064</t>
  </si>
  <si>
    <t>INV065</t>
  </si>
  <si>
    <t>INV066</t>
  </si>
  <si>
    <t>INV067</t>
  </si>
  <si>
    <t>INV068</t>
  </si>
  <si>
    <t>INV069</t>
  </si>
  <si>
    <t>INV070</t>
  </si>
  <si>
    <t>INV071</t>
  </si>
  <si>
    <t>INV072</t>
  </si>
  <si>
    <t>INV073</t>
  </si>
  <si>
    <t>INV074</t>
  </si>
  <si>
    <t>INV075</t>
  </si>
  <si>
    <t>INV076</t>
  </si>
  <si>
    <t>INV077</t>
  </si>
  <si>
    <t>INV078</t>
  </si>
  <si>
    <t>INV079</t>
  </si>
  <si>
    <t>INV080</t>
  </si>
  <si>
    <t>INV081</t>
  </si>
  <si>
    <t>INV082</t>
  </si>
  <si>
    <t>INV083</t>
  </si>
  <si>
    <t>INV084</t>
  </si>
  <si>
    <t>INV085</t>
  </si>
  <si>
    <t>INV086</t>
  </si>
  <si>
    <t>INV087</t>
  </si>
  <si>
    <t>INV088</t>
  </si>
  <si>
    <t>INV089</t>
  </si>
  <si>
    <t>INV090</t>
  </si>
  <si>
    <t>INV091</t>
  </si>
  <si>
    <t>INV092</t>
  </si>
  <si>
    <t>INV093</t>
  </si>
  <si>
    <t>INV094</t>
  </si>
  <si>
    <t>INV095</t>
  </si>
  <si>
    <t>INV096</t>
  </si>
  <si>
    <t>INV097</t>
  </si>
  <si>
    <t>INV098</t>
  </si>
  <si>
    <t>INV099</t>
  </si>
  <si>
    <t>INV100</t>
  </si>
  <si>
    <t>INV101</t>
  </si>
  <si>
    <t>INV102</t>
  </si>
  <si>
    <t>INV103</t>
  </si>
  <si>
    <t>INV104</t>
  </si>
  <si>
    <t>INV105</t>
  </si>
  <si>
    <t>INV106</t>
  </si>
  <si>
    <t>INV107</t>
  </si>
  <si>
    <t>INV108</t>
  </si>
  <si>
    <t>INV109</t>
  </si>
  <si>
    <t>INV110</t>
  </si>
  <si>
    <t>INV111</t>
  </si>
  <si>
    <t>INV112</t>
  </si>
  <si>
    <t>INV113</t>
  </si>
  <si>
    <t>INV114</t>
  </si>
  <si>
    <t>INV115</t>
  </si>
  <si>
    <t>INV116</t>
  </si>
  <si>
    <t>INV117</t>
  </si>
  <si>
    <t>INV118</t>
  </si>
  <si>
    <t>INV119</t>
  </si>
  <si>
    <t>INV120</t>
  </si>
  <si>
    <t>PO031</t>
  </si>
  <si>
    <t>PO032</t>
  </si>
  <si>
    <t>PO033</t>
  </si>
  <si>
    <t>PO034</t>
  </si>
  <si>
    <t>PO035</t>
  </si>
  <si>
    <t>PO036</t>
  </si>
  <si>
    <t>PO037</t>
  </si>
  <si>
    <t>PO038</t>
  </si>
  <si>
    <t>PO039</t>
  </si>
  <si>
    <t>PO040</t>
  </si>
  <si>
    <t>PO041</t>
  </si>
  <si>
    <t>PO042</t>
  </si>
  <si>
    <t>PO043</t>
  </si>
  <si>
    <t>PO044</t>
  </si>
  <si>
    <t>PO045</t>
  </si>
  <si>
    <t>PO046</t>
  </si>
  <si>
    <t>PO047</t>
  </si>
  <si>
    <t>PO048</t>
  </si>
  <si>
    <t>PO049</t>
  </si>
  <si>
    <t>PO050</t>
  </si>
  <si>
    <t>PO051</t>
  </si>
  <si>
    <t>PO052</t>
  </si>
  <si>
    <t>PO053</t>
  </si>
  <si>
    <t>PO054</t>
  </si>
  <si>
    <t>PO055</t>
  </si>
  <si>
    <t>PO056</t>
  </si>
  <si>
    <t>PO057</t>
  </si>
  <si>
    <t>PO058</t>
  </si>
  <si>
    <t>PO059</t>
  </si>
  <si>
    <t>PO060</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</si>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</sst>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75" formatCode="&quot;₹&quot;\ #,##0"/>
  </numFmts>
  <fonts count="9"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14"/>
      <color theme="1"/>
      <name val="Calibri"/>
      <family val="2"/>
      <scheme val="minor"/>
    </font>
    <font>
      <b/>
      <sz val="14"/>
      <color rgb="FF002060"/>
      <name val="Segoe UI"/>
      <family val="2"/>
    </font>
    <font>
      <b/>
      <sz val="28"/>
      <color theme="1"/>
      <name val="Calibri"/>
      <family val="2"/>
      <scheme val="minor"/>
    </font>
    <font>
      <b/>
      <sz val="32"/>
      <color theme="0"/>
      <name val="Segoe UI"/>
      <family val="2"/>
    </font>
    <font>
      <b/>
      <sz val="14"/>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47">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vertical="center"/>
    </xf>
    <xf numFmtId="0" fontId="0" fillId="0" borderId="0" xfId="0" applyAlignment="1">
      <alignment horizontal="right" vertical="center"/>
    </xf>
    <xf numFmtId="0" fontId="2" fillId="0" borderId="0" xfId="1" applyAlignment="1">
      <alignment vertical="center"/>
    </xf>
    <xf numFmtId="15" fontId="0" fillId="0" borderId="0" xfId="0" applyNumberFormat="1" applyAlignment="1">
      <alignment vertical="center"/>
    </xf>
    <xf numFmtId="0" fontId="0" fillId="0" borderId="0" xfId="0" applyAlignment="1">
      <alignment horizontal="center"/>
    </xf>
    <xf numFmtId="0" fontId="5" fillId="3" borderId="1" xfId="0" applyFont="1" applyFill="1" applyBorder="1" applyAlignment="1">
      <alignment horizontal="center"/>
    </xf>
    <xf numFmtId="0" fontId="5" fillId="3" borderId="2" xfId="0" applyFont="1" applyFill="1" applyBorder="1" applyAlignment="1">
      <alignment horizontal="center"/>
    </xf>
    <xf numFmtId="0" fontId="5" fillId="3" borderId="3" xfId="0" applyFont="1" applyFill="1" applyBorder="1" applyAlignment="1">
      <alignment horizontal="center"/>
    </xf>
    <xf numFmtId="6" fontId="6" fillId="3" borderId="4" xfId="0" applyNumberFormat="1" applyFont="1" applyFill="1" applyBorder="1" applyAlignment="1">
      <alignment horizontal="center" vertical="center"/>
    </xf>
    <xf numFmtId="0" fontId="6" fillId="3" borderId="0" xfId="0" applyFont="1" applyFill="1" applyAlignment="1">
      <alignment horizontal="center" vertical="center"/>
    </xf>
    <xf numFmtId="0" fontId="6" fillId="3" borderId="5"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4" fillId="0" borderId="0" xfId="0" applyFont="1"/>
    <xf numFmtId="0" fontId="7" fillId="2" borderId="0" xfId="0" applyFont="1" applyFill="1" applyAlignment="1">
      <alignment horizontal="center" vertical="center"/>
    </xf>
    <xf numFmtId="0" fontId="6" fillId="3" borderId="4" xfId="0" applyNumberFormat="1" applyFont="1" applyFill="1" applyBorder="1" applyAlignment="1">
      <alignment horizontal="center" vertical="center"/>
    </xf>
    <xf numFmtId="0" fontId="6" fillId="3" borderId="0" xfId="0" applyNumberFormat="1" applyFont="1" applyFill="1" applyAlignment="1">
      <alignment horizontal="center" vertical="center"/>
    </xf>
    <xf numFmtId="0" fontId="6" fillId="3" borderId="5" xfId="0" applyNumberFormat="1" applyFont="1" applyFill="1" applyBorder="1" applyAlignment="1">
      <alignment horizontal="center" vertical="center"/>
    </xf>
    <xf numFmtId="0" fontId="6" fillId="3" borderId="6" xfId="0" applyNumberFormat="1" applyFont="1" applyFill="1" applyBorder="1" applyAlignment="1">
      <alignment horizontal="center" vertical="center"/>
    </xf>
    <xf numFmtId="0" fontId="6" fillId="3" borderId="7" xfId="0" applyNumberFormat="1" applyFont="1" applyFill="1" applyBorder="1" applyAlignment="1">
      <alignment horizontal="center" vertical="center"/>
    </xf>
    <xf numFmtId="0" fontId="6" fillId="3" borderId="8" xfId="0" applyNumberFormat="1" applyFont="1" applyFill="1" applyBorder="1" applyAlignment="1">
      <alignment horizontal="center" vertical="center"/>
    </xf>
    <xf numFmtId="1" fontId="6" fillId="3" borderId="4" xfId="0" applyNumberFormat="1" applyFont="1" applyFill="1" applyBorder="1" applyAlignment="1">
      <alignment horizontal="center" vertical="center"/>
    </xf>
    <xf numFmtId="1" fontId="6" fillId="3" borderId="0" xfId="0" applyNumberFormat="1" applyFont="1" applyFill="1" applyAlignment="1">
      <alignment horizontal="center" vertical="center"/>
    </xf>
    <xf numFmtId="1" fontId="6" fillId="3" borderId="5" xfId="0" applyNumberFormat="1" applyFont="1" applyFill="1" applyBorder="1" applyAlignment="1">
      <alignment horizontal="center" vertical="center"/>
    </xf>
    <xf numFmtId="1" fontId="6" fillId="3" borderId="6" xfId="0" applyNumberFormat="1" applyFont="1" applyFill="1" applyBorder="1" applyAlignment="1">
      <alignment horizontal="center" vertical="center"/>
    </xf>
    <xf numFmtId="1" fontId="6" fillId="3" borderId="7" xfId="0" applyNumberFormat="1" applyFont="1" applyFill="1" applyBorder="1" applyAlignment="1">
      <alignment horizontal="center" vertical="center"/>
    </xf>
    <xf numFmtId="1" fontId="6" fillId="3" borderId="8" xfId="0" applyNumberFormat="1" applyFont="1" applyFill="1" applyBorder="1" applyAlignment="1">
      <alignment horizontal="center" vertical="center"/>
    </xf>
    <xf numFmtId="175" fontId="6" fillId="3" borderId="4" xfId="0" applyNumberFormat="1" applyFont="1" applyFill="1" applyBorder="1" applyAlignment="1">
      <alignment horizontal="center" vertical="center"/>
    </xf>
    <xf numFmtId="175" fontId="6" fillId="3" borderId="0" xfId="0" applyNumberFormat="1" applyFont="1" applyFill="1" applyAlignment="1">
      <alignment horizontal="center" vertical="center"/>
    </xf>
    <xf numFmtId="175" fontId="6" fillId="3" borderId="5" xfId="0" applyNumberFormat="1" applyFont="1" applyFill="1" applyBorder="1" applyAlignment="1">
      <alignment horizontal="center" vertical="center"/>
    </xf>
    <xf numFmtId="175" fontId="6" fillId="3" borderId="6" xfId="0" applyNumberFormat="1" applyFont="1" applyFill="1" applyBorder="1" applyAlignment="1">
      <alignment horizontal="center" vertical="center"/>
    </xf>
    <xf numFmtId="175" fontId="6" fillId="3" borderId="7" xfId="0" applyNumberFormat="1" applyFont="1" applyFill="1" applyBorder="1" applyAlignment="1">
      <alignment horizontal="center" vertical="center"/>
    </xf>
    <xf numFmtId="175" fontId="6" fillId="3" borderId="8"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8" fillId="0" borderId="0" xfId="0" applyFont="1"/>
    <xf numFmtId="15" fontId="8" fillId="0" borderId="0" xfId="0" applyNumberFormat="1" applyFont="1"/>
    <xf numFmtId="0" fontId="0" fillId="0" borderId="0" xfId="0" applyNumberFormat="1" applyAlignment="1">
      <alignment vertical="center"/>
    </xf>
    <xf numFmtId="0" fontId="0" fillId="0" borderId="0" xfId="0" applyNumberFormat="1" applyAlignment="1"/>
    <xf numFmtId="0" fontId="1" fillId="0" borderId="0" xfId="0" applyFont="1" applyAlignment="1">
      <alignment horizontal="right" vertical="center"/>
    </xf>
    <xf numFmtId="0" fontId="0" fillId="0" borderId="0" xfId="0" applyNumberFormat="1" applyAlignment="1">
      <alignment horizontal="right" vertical="center"/>
    </xf>
  </cellXfs>
  <cellStyles count="2">
    <cellStyle name="Hyperlink" xfId="1" builtinId="8"/>
    <cellStyle name="Normal" xfId="0" builtinId="0"/>
  </cellStyles>
  <dxfs count="53">
    <dxf>
      <numFmt numFmtId="0" formatCode="General"/>
      <alignment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dxf>
    <dxf>
      <numFmt numFmtId="0" formatCode="General"/>
    </dxf>
    <dxf>
      <numFmt numFmtId="0" formatCode="Genera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center" vertical="center" textRotation="0" wrapText="0" indent="0" justifyLastLine="0" shrinkToFit="0" readingOrder="0"/>
    </dxf>
    <dxf>
      <numFmt numFmtId="0" formatCode="General"/>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alignment textRotation="0" wrapText="0" indent="0" justifyLastLine="0" shrinkToFit="0" readingOrder="0"/>
    </dxf>
    <dxf>
      <numFmt numFmtId="0" formatCode="General"/>
      <alignment horizontal="general" vertical="center"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alignment horizontal="center" vertical="center" textRotation="0" wrapText="0" indent="0" justifyLastLine="0" shrinkToFit="0" readingOrder="0"/>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System.xlsx]Pivot Table!PivotTable8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Current</a:t>
            </a:r>
            <a:r>
              <a:rPr lang="en-US" b="1" baseline="0"/>
              <a:t> Stock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Total</c:v>
                </c:pt>
              </c:strCache>
            </c:strRef>
          </c:tx>
          <c:spPr>
            <a:solidFill>
              <a:schemeClr val="accent1"/>
            </a:solidFill>
            <a:ln>
              <a:noFill/>
            </a:ln>
            <a:effectLst/>
          </c:spPr>
          <c:invertIfNegative val="0"/>
          <c:cat>
            <c:strRef>
              <c:f>'Pivot Table'!$A$3:$A$7</c:f>
              <c:strCache>
                <c:ptCount val="4"/>
                <c:pt idx="0">
                  <c:v>Accessories</c:v>
                </c:pt>
                <c:pt idx="1">
                  <c:v>Electronics</c:v>
                </c:pt>
                <c:pt idx="2">
                  <c:v>Furniture</c:v>
                </c:pt>
                <c:pt idx="3">
                  <c:v>Stationery</c:v>
                </c:pt>
              </c:strCache>
            </c:strRef>
          </c:cat>
          <c:val>
            <c:numRef>
              <c:f>'Pivot Table'!$B$3:$B$7</c:f>
              <c:numCache>
                <c:formatCode>General</c:formatCode>
                <c:ptCount val="4"/>
                <c:pt idx="0">
                  <c:v>539</c:v>
                </c:pt>
                <c:pt idx="1">
                  <c:v>1059</c:v>
                </c:pt>
                <c:pt idx="2">
                  <c:v>165</c:v>
                </c:pt>
                <c:pt idx="3">
                  <c:v>1880</c:v>
                </c:pt>
              </c:numCache>
            </c:numRef>
          </c:val>
          <c:extLst>
            <c:ext xmlns:c16="http://schemas.microsoft.com/office/drawing/2014/chart" uri="{C3380CC4-5D6E-409C-BE32-E72D297353CC}">
              <c16:uniqueId val="{00000000-D0D0-4103-913B-549C27F6354B}"/>
            </c:ext>
          </c:extLst>
        </c:ser>
        <c:dLbls>
          <c:showLegendKey val="0"/>
          <c:showVal val="0"/>
          <c:showCatName val="0"/>
          <c:showSerName val="0"/>
          <c:showPercent val="0"/>
          <c:showBubbleSize val="0"/>
        </c:dLbls>
        <c:gapWidth val="219"/>
        <c:overlap val="-27"/>
        <c:axId val="954422735"/>
        <c:axId val="954426575"/>
      </c:barChart>
      <c:catAx>
        <c:axId val="95442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26575"/>
        <c:crosses val="autoZero"/>
        <c:auto val="1"/>
        <c:lblAlgn val="ctr"/>
        <c:lblOffset val="100"/>
        <c:noMultiLvlLbl val="0"/>
      </c:catAx>
      <c:valAx>
        <c:axId val="95442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2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8F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System.xlsx]Pivot Table!PivotTable9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Products by Inventory Value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42927096285051"/>
          <c:y val="0.10935928659339368"/>
          <c:w val="0.7978486393878722"/>
          <c:h val="0.79340246090822109"/>
        </c:manualLayout>
      </c:layout>
      <c:barChart>
        <c:barDir val="bar"/>
        <c:grouping val="clustered"/>
        <c:varyColors val="0"/>
        <c:ser>
          <c:idx val="0"/>
          <c:order val="0"/>
          <c:tx>
            <c:strRef>
              <c:f>'Pivot Table'!$G$2</c:f>
              <c:strCache>
                <c:ptCount val="1"/>
                <c:pt idx="0">
                  <c:v>Total</c:v>
                </c:pt>
              </c:strCache>
            </c:strRef>
          </c:tx>
          <c:spPr>
            <a:solidFill>
              <a:schemeClr val="accent1"/>
            </a:solidFill>
            <a:ln>
              <a:noFill/>
            </a:ln>
            <a:effectLst/>
          </c:spPr>
          <c:invertIfNegative val="0"/>
          <c:cat>
            <c:strRef>
              <c:f>'Pivot Table'!$F$3:$F$13</c:f>
              <c:strCache>
                <c:ptCount val="10"/>
                <c:pt idx="0">
                  <c:v>External Hard Drive 1TB</c:v>
                </c:pt>
                <c:pt idx="1">
                  <c:v>Storage Cabinet</c:v>
                </c:pt>
                <c:pt idx="2">
                  <c:v>Office Chair</c:v>
                </c:pt>
                <c:pt idx="3">
                  <c:v>Study Table</c:v>
                </c:pt>
                <c:pt idx="4">
                  <c:v>Wireless Keyboard</c:v>
                </c:pt>
                <c:pt idx="5">
                  <c:v>USB Flash Drive 32GB</c:v>
                </c:pt>
                <c:pt idx="6">
                  <c:v>Bluetooth Speaker</c:v>
                </c:pt>
                <c:pt idx="7">
                  <c:v>Wireless Mouse</c:v>
                </c:pt>
                <c:pt idx="8">
                  <c:v>Power Bank 10000mAh</c:v>
                </c:pt>
                <c:pt idx="9">
                  <c:v>Bookshelf</c:v>
                </c:pt>
              </c:strCache>
            </c:strRef>
          </c:cat>
          <c:val>
            <c:numRef>
              <c:f>'Pivot Table'!$G$3:$G$13</c:f>
              <c:numCache>
                <c:formatCode>General</c:formatCode>
                <c:ptCount val="10"/>
                <c:pt idx="0">
                  <c:v>169600</c:v>
                </c:pt>
                <c:pt idx="1">
                  <c:v>121800</c:v>
                </c:pt>
                <c:pt idx="2">
                  <c:v>119000</c:v>
                </c:pt>
                <c:pt idx="3">
                  <c:v>109200</c:v>
                </c:pt>
                <c:pt idx="4">
                  <c:v>99000</c:v>
                </c:pt>
                <c:pt idx="5">
                  <c:v>71750</c:v>
                </c:pt>
                <c:pt idx="6">
                  <c:v>69300</c:v>
                </c:pt>
                <c:pt idx="7">
                  <c:v>68850</c:v>
                </c:pt>
                <c:pt idx="8">
                  <c:v>60800</c:v>
                </c:pt>
                <c:pt idx="9">
                  <c:v>56000</c:v>
                </c:pt>
              </c:numCache>
            </c:numRef>
          </c:val>
          <c:extLst>
            <c:ext xmlns:c16="http://schemas.microsoft.com/office/drawing/2014/chart" uri="{C3380CC4-5D6E-409C-BE32-E72D297353CC}">
              <c16:uniqueId val="{00000000-1074-409A-92E7-7F6643A0D02A}"/>
            </c:ext>
          </c:extLst>
        </c:ser>
        <c:dLbls>
          <c:showLegendKey val="0"/>
          <c:showVal val="0"/>
          <c:showCatName val="0"/>
          <c:showSerName val="0"/>
          <c:showPercent val="0"/>
          <c:showBubbleSize val="0"/>
        </c:dLbls>
        <c:gapWidth val="182"/>
        <c:axId val="954443855"/>
        <c:axId val="954430895"/>
      </c:barChart>
      <c:catAx>
        <c:axId val="95444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30895"/>
        <c:crosses val="autoZero"/>
        <c:auto val="1"/>
        <c:lblAlgn val="ctr"/>
        <c:lblOffset val="100"/>
        <c:noMultiLvlLbl val="0"/>
      </c:catAx>
      <c:valAx>
        <c:axId val="954430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4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8F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System.xlsx]Pivot Table!PivotTable10</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Purchases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Table'!$A$16:$A$20</c:f>
              <c:strCache>
                <c:ptCount val="4"/>
                <c:pt idx="0">
                  <c:v>Jan</c:v>
                </c:pt>
                <c:pt idx="1">
                  <c:v>Feb</c:v>
                </c:pt>
                <c:pt idx="2">
                  <c:v>Mar</c:v>
                </c:pt>
                <c:pt idx="3">
                  <c:v>Apr</c:v>
                </c:pt>
              </c:strCache>
            </c:strRef>
          </c:cat>
          <c:val>
            <c:numRef>
              <c:f>'Pivot Table'!$B$16:$B$20</c:f>
              <c:numCache>
                <c:formatCode>General</c:formatCode>
                <c:ptCount val="4"/>
                <c:pt idx="0">
                  <c:v>321500</c:v>
                </c:pt>
                <c:pt idx="1">
                  <c:v>157100</c:v>
                </c:pt>
                <c:pt idx="2">
                  <c:v>207340</c:v>
                </c:pt>
                <c:pt idx="3">
                  <c:v>217860</c:v>
                </c:pt>
              </c:numCache>
            </c:numRef>
          </c:val>
          <c:smooth val="0"/>
          <c:extLst>
            <c:ext xmlns:c16="http://schemas.microsoft.com/office/drawing/2014/chart" uri="{C3380CC4-5D6E-409C-BE32-E72D297353CC}">
              <c16:uniqueId val="{00000000-9E3B-414D-9BDC-5B09D2DD49DD}"/>
            </c:ext>
          </c:extLst>
        </c:ser>
        <c:dLbls>
          <c:showLegendKey val="0"/>
          <c:showVal val="0"/>
          <c:showCatName val="0"/>
          <c:showSerName val="0"/>
          <c:showPercent val="0"/>
          <c:showBubbleSize val="0"/>
        </c:dLbls>
        <c:marker val="1"/>
        <c:smooth val="0"/>
        <c:axId val="954459695"/>
        <c:axId val="954460655"/>
      </c:lineChart>
      <c:catAx>
        <c:axId val="95445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60655"/>
        <c:crosses val="autoZero"/>
        <c:auto val="1"/>
        <c:lblAlgn val="ctr"/>
        <c:lblOffset val="100"/>
        <c:noMultiLvlLbl val="0"/>
      </c:catAx>
      <c:valAx>
        <c:axId val="954460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5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8F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System.xlsx]Pivot Table!PivotTable11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Table'!$F$16:$F$21</c:f>
              <c:strCache>
                <c:ptCount val="5"/>
                <c:pt idx="0">
                  <c:v>Jan</c:v>
                </c:pt>
                <c:pt idx="1">
                  <c:v>Feb</c:v>
                </c:pt>
                <c:pt idx="2">
                  <c:v>Mar</c:v>
                </c:pt>
                <c:pt idx="3">
                  <c:v>Apr</c:v>
                </c:pt>
                <c:pt idx="4">
                  <c:v>May</c:v>
                </c:pt>
              </c:strCache>
            </c:strRef>
          </c:cat>
          <c:val>
            <c:numRef>
              <c:f>'Pivot Table'!$G$16:$G$21</c:f>
              <c:numCache>
                <c:formatCode>General</c:formatCode>
                <c:ptCount val="5"/>
                <c:pt idx="0">
                  <c:v>150800</c:v>
                </c:pt>
                <c:pt idx="1">
                  <c:v>109850</c:v>
                </c:pt>
                <c:pt idx="2">
                  <c:v>220250</c:v>
                </c:pt>
                <c:pt idx="3">
                  <c:v>215070</c:v>
                </c:pt>
                <c:pt idx="4">
                  <c:v>170580</c:v>
                </c:pt>
              </c:numCache>
            </c:numRef>
          </c:val>
          <c:smooth val="0"/>
          <c:extLst>
            <c:ext xmlns:c16="http://schemas.microsoft.com/office/drawing/2014/chart" uri="{C3380CC4-5D6E-409C-BE32-E72D297353CC}">
              <c16:uniqueId val="{00000000-0DA1-4556-A209-D181353E4962}"/>
            </c:ext>
          </c:extLst>
        </c:ser>
        <c:dLbls>
          <c:showLegendKey val="0"/>
          <c:showVal val="0"/>
          <c:showCatName val="0"/>
          <c:showSerName val="0"/>
          <c:showPercent val="0"/>
          <c:showBubbleSize val="0"/>
        </c:dLbls>
        <c:marker val="1"/>
        <c:smooth val="0"/>
        <c:axId val="954449135"/>
        <c:axId val="954450095"/>
      </c:lineChart>
      <c:catAx>
        <c:axId val="95444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50095"/>
        <c:crosses val="autoZero"/>
        <c:auto val="1"/>
        <c:lblAlgn val="ctr"/>
        <c:lblOffset val="100"/>
        <c:noMultiLvlLbl val="0"/>
      </c:catAx>
      <c:valAx>
        <c:axId val="95445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4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8F8F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253999</xdr:colOff>
      <xdr:row>15</xdr:row>
      <xdr:rowOff>0</xdr:rowOff>
    </xdr:from>
    <xdr:to>
      <xdr:col>7</xdr:col>
      <xdr:colOff>1079499</xdr:colOff>
      <xdr:row>31</xdr:row>
      <xdr:rowOff>154215</xdr:rowOff>
    </xdr:to>
    <xdr:graphicFrame macro="">
      <xdr:nvGraphicFramePr>
        <xdr:cNvPr id="6" name="Chart 5">
          <a:extLst>
            <a:ext uri="{FF2B5EF4-FFF2-40B4-BE49-F238E27FC236}">
              <a16:creationId xmlns:a16="http://schemas.microsoft.com/office/drawing/2014/main" id="{DCB457C1-3169-4E37-AF02-631487518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1088570</xdr:colOff>
      <xdr:row>14</xdr:row>
      <xdr:rowOff>181427</xdr:rowOff>
    </xdr:from>
    <xdr:to>
      <xdr:col>16</xdr:col>
      <xdr:colOff>18142</xdr:colOff>
      <xdr:row>31</xdr:row>
      <xdr:rowOff>126999</xdr:rowOff>
    </xdr:to>
    <xdr:graphicFrame macro="">
      <xdr:nvGraphicFramePr>
        <xdr:cNvPr id="7" name="Chart 6">
          <a:extLst>
            <a:ext uri="{FF2B5EF4-FFF2-40B4-BE49-F238E27FC236}">
              <a16:creationId xmlns:a16="http://schemas.microsoft.com/office/drawing/2014/main" id="{C34CC3A3-3A5B-4C11-ADE9-D64AC09E7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33</xdr:row>
      <xdr:rowOff>0</xdr:rowOff>
    </xdr:from>
    <xdr:to>
      <xdr:col>8</xdr:col>
      <xdr:colOff>0</xdr:colOff>
      <xdr:row>49</xdr:row>
      <xdr:rowOff>163285</xdr:rowOff>
    </xdr:to>
    <xdr:graphicFrame macro="">
      <xdr:nvGraphicFramePr>
        <xdr:cNvPr id="8" name="Chart 7">
          <a:extLst>
            <a:ext uri="{FF2B5EF4-FFF2-40B4-BE49-F238E27FC236}">
              <a16:creationId xmlns:a16="http://schemas.microsoft.com/office/drawing/2014/main" id="{3F5C03A8-04C5-49CF-8C51-8434B4783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33</xdr:row>
      <xdr:rowOff>0</xdr:rowOff>
    </xdr:from>
    <xdr:to>
      <xdr:col>15</xdr:col>
      <xdr:colOff>1079500</xdr:colOff>
      <xdr:row>49</xdr:row>
      <xdr:rowOff>163285</xdr:rowOff>
    </xdr:to>
    <xdr:graphicFrame macro="">
      <xdr:nvGraphicFramePr>
        <xdr:cNvPr id="9" name="Chart 8">
          <a:extLst>
            <a:ext uri="{FF2B5EF4-FFF2-40B4-BE49-F238E27FC236}">
              <a16:creationId xmlns:a16="http://schemas.microsoft.com/office/drawing/2014/main" id="{5B9D2850-7589-4115-870B-49AAA2806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xdr:colOff>
      <xdr:row>51</xdr:row>
      <xdr:rowOff>72572</xdr:rowOff>
    </xdr:from>
    <xdr:to>
      <xdr:col>6</xdr:col>
      <xdr:colOff>290287</xdr:colOff>
      <xdr:row>67</xdr:row>
      <xdr:rowOff>45357</xdr:rowOff>
    </xdr:to>
    <xdr:grpSp>
      <xdr:nvGrpSpPr>
        <xdr:cNvPr id="14" name="Group 13">
          <a:extLst>
            <a:ext uri="{FF2B5EF4-FFF2-40B4-BE49-F238E27FC236}">
              <a16:creationId xmlns:a16="http://schemas.microsoft.com/office/drawing/2014/main" id="{2885C36E-92AF-BE4E-8A6F-24FECB72DCD7}"/>
            </a:ext>
          </a:extLst>
        </xdr:cNvPr>
        <xdr:cNvGrpSpPr/>
      </xdr:nvGrpSpPr>
      <xdr:grpSpPr>
        <a:xfrm>
          <a:off x="254001" y="10308772"/>
          <a:ext cx="5751286" cy="3020785"/>
          <a:chOff x="2122715" y="10268858"/>
          <a:chExt cx="5733143" cy="2875642"/>
        </a:xfrm>
      </xdr:grpSpPr>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25DF0D84-F6D6-0ED6-51ED-1AEF3B21BB16}"/>
                  </a:ext>
                </a:extLst>
              </xdr:cNvPr>
              <xdr:cNvGraphicFramePr/>
            </xdr:nvGraphicFramePr>
            <xdr:xfrm>
              <a:off x="2122715" y="10270672"/>
              <a:ext cx="1830092" cy="2873828"/>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54001" y="10310678"/>
                <a:ext cx="1835883" cy="3018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2" name="Supplier">
                <a:extLst>
                  <a:ext uri="{FF2B5EF4-FFF2-40B4-BE49-F238E27FC236}">
                    <a16:creationId xmlns:a16="http://schemas.microsoft.com/office/drawing/2014/main" id="{695C2DEB-ABFF-6EB6-5CD4-EC016D92414B}"/>
                  </a:ext>
                </a:extLst>
              </xdr:cNvPr>
              <xdr:cNvGraphicFramePr/>
            </xdr:nvGraphicFramePr>
            <xdr:xfrm>
              <a:off x="4100286" y="10268858"/>
              <a:ext cx="1796142" cy="2875642"/>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2237830" y="10308772"/>
                <a:ext cx="1801826" cy="3020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Customer">
                <a:extLst>
                  <a:ext uri="{FF2B5EF4-FFF2-40B4-BE49-F238E27FC236}">
                    <a16:creationId xmlns:a16="http://schemas.microsoft.com/office/drawing/2014/main" id="{97EA26ED-9C4B-5E91-4DA4-327CDBAC38FC}"/>
                  </a:ext>
                </a:extLst>
              </xdr:cNvPr>
              <xdr:cNvGraphicFramePr/>
            </xdr:nvGraphicFramePr>
            <xdr:xfrm>
              <a:off x="5989480" y="10277929"/>
              <a:ext cx="1866378" cy="2866571"/>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4133003" y="10318301"/>
                <a:ext cx="1872284" cy="3011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pin" refreshedDate="46225.549240162036" createdVersion="8" refreshedVersion="8" minRefreshableVersion="3" recordCount="25" xr:uid="{81D546D0-22EA-4B25-8B69-276EB6735D55}">
  <cacheSource type="worksheet">
    <worksheetSource name="tblInventoryReport"/>
  </cacheSource>
  <cacheFields count="11">
    <cacheField name="Product ID" numFmtId="0">
      <sharedItems/>
    </cacheField>
    <cacheField name="Product Name" numFmtId="0">
      <sharedItems count="25">
        <s v="Wireless Mouse"/>
        <s v="Wireless Keyboard"/>
        <s v="USB Flash Drive 32GB"/>
        <s v="External Hard Drive 1TB"/>
        <s v="HDMI Cable"/>
        <s v="Notebook A5"/>
        <s v="Ball Pen"/>
        <s v="Stapler"/>
        <s v="Printer Paper (500 Sheets)"/>
        <s v="Highlighter Set"/>
        <s v="Office Chair"/>
        <s v="Study Table"/>
        <s v="Bookshelf"/>
        <s v="LED Desk Lamp"/>
        <s v="Storage Cabinet"/>
        <s v="Water Bottle 1L"/>
        <s v="Laptop Backpack"/>
        <s v="Mobile Stand"/>
        <s v="Power Bank 10000mAh"/>
        <s v="Bluetooth Speaker"/>
        <s v="Whiteboard Marker"/>
        <s v="Calculator"/>
        <s v="Extension Board"/>
        <s v="File Folder"/>
        <s v="Desk Organizer"/>
      </sharedItems>
    </cacheField>
    <cacheField name="Category" numFmtId="0">
      <sharedItems count="4">
        <s v="Electronics"/>
        <s v="Stationery"/>
        <s v="Furniture"/>
        <s v="Accessories"/>
      </sharedItems>
    </cacheField>
    <cacheField name="Opening Stock" numFmtId="0">
      <sharedItems containsSemiMixedTypes="0" containsString="0" containsNumber="1" containsInteger="1" minValue="12" maxValue="500"/>
    </cacheField>
    <cacheField name="Purchased Qty" numFmtId="0">
      <sharedItems containsSemiMixedTypes="0" containsString="0" containsNumber="1" containsInteger="1" minValue="11" maxValue="780"/>
    </cacheField>
    <cacheField name="Sold Qty" numFmtId="0">
      <sharedItems containsSemiMixedTypes="0" containsString="0" containsNumber="1" containsInteger="1" minValue="2" maxValue="520"/>
    </cacheField>
    <cacheField name="Cost Value" numFmtId="0">
      <sharedItems containsSemiMixedTypes="0" containsString="0" containsNumber="1" containsInteger="1" minValue="12" maxValue="5800"/>
    </cacheField>
    <cacheField name="Sales Value" numFmtId="0">
      <sharedItems containsSemiMixedTypes="0" containsString="0" containsNumber="1" containsInteger="1" minValue="25" maxValue="7800"/>
    </cacheField>
    <cacheField name="Current Stock" numFmtId="0">
      <sharedItems containsSemiMixedTypes="0" containsString="0" containsNumber="1" containsInteger="1" minValue="20" maxValue="760"/>
    </cacheField>
    <cacheField name="Inventory Value" numFmtId="0">
      <sharedItems containsSemiMixedTypes="0" containsString="0" containsNumber="1" containsInteger="1" minValue="2880" maxValue="169600"/>
    </cacheField>
    <cacheField name="Stock Status" numFmtId="0">
      <sharedItems/>
    </cacheField>
  </cacheFields>
  <extLst>
    <ext xmlns:x14="http://schemas.microsoft.com/office/spreadsheetml/2009/9/main" uri="{725AE2AE-9491-48be-B2B4-4EB974FC3084}">
      <x14:pivotCacheDefinition pivotCacheId="18578903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pin" refreshedDate="46225.551033680553" createdVersion="8" refreshedVersion="8" minRefreshableVersion="3" recordCount="60" xr:uid="{1AEA744E-354E-412F-9222-91ADE56A94D9}">
  <cacheSource type="worksheet">
    <worksheetSource name="tblPurchases"/>
  </cacheSource>
  <cacheFields count="10">
    <cacheField name="PO No" numFmtId="0">
      <sharedItems/>
    </cacheField>
    <cacheField name="Date" numFmtId="15">
      <sharedItems containsSemiMixedTypes="0" containsNonDate="0" containsDate="1" containsString="0" minDate="2026-01-01T00:00:00" maxDate="2026-04-27T00:00:00" count="60">
        <d v="2026-01-01T00:00:00"/>
        <d v="2026-01-02T00:00:00"/>
        <d v="2026-01-03T00:00:00"/>
        <d v="2026-01-04T00:00:00"/>
        <d v="2026-01-05T00:00:00"/>
        <d v="2026-01-07T00:00:00"/>
        <d v="2026-01-08T00:00:00"/>
        <d v="2026-01-09T00:00:00"/>
        <d v="2026-01-10T00:00:00"/>
        <d v="2026-01-11T00:00:00"/>
        <d v="2026-01-13T00:00:00"/>
        <d v="2026-01-15T00:00:00"/>
        <d v="2026-01-17T00:00:00"/>
        <d v="2026-01-18T00:00:00"/>
        <d v="2026-01-20T00:00:00"/>
        <d v="2026-01-22T00:00:00"/>
        <d v="2026-01-24T00:00:00"/>
        <d v="2026-01-26T00:00:00"/>
        <d v="2026-01-28T00:00:00"/>
        <d v="2026-01-30T00:00:00"/>
        <d v="2026-02-02T00:00:00"/>
        <d v="2026-02-04T00:00:00"/>
        <d v="2026-02-06T00:00:00"/>
        <d v="2026-02-08T00:00:00"/>
        <d v="2026-02-10T00:00:00"/>
        <d v="2026-02-12T00:00:00"/>
        <d v="2026-02-15T00:00:00"/>
        <d v="2026-02-18T00:00:00"/>
        <d v="2026-02-20T00:00:00"/>
        <d v="2026-02-22T00:00:00"/>
        <d v="2026-02-25T00:00:00"/>
        <d v="2026-02-27T00:00:00"/>
        <d v="2026-03-01T00:00:00"/>
        <d v="2026-03-03T00:00:00"/>
        <d v="2026-03-05T00:00:00"/>
        <d v="2026-03-07T00:00:00"/>
        <d v="2026-03-09T00:00:00"/>
        <d v="2026-03-11T00:00:00"/>
        <d v="2026-03-13T00:00:00"/>
        <d v="2026-03-15T00:00:00"/>
        <d v="2026-03-18T00:00:00"/>
        <d v="2026-03-20T00:00:00"/>
        <d v="2026-03-22T00:00:00"/>
        <d v="2026-03-24T00:00:00"/>
        <d v="2026-03-26T00:00:00"/>
        <d v="2026-03-28T00:00:00"/>
        <d v="2026-03-30T00:00:00"/>
        <d v="2026-04-02T00:00:00"/>
        <d v="2026-04-04T00:00:00"/>
        <d v="2026-04-06T00:00:00"/>
        <d v="2026-04-08T00:00:00"/>
        <d v="2026-04-10T00:00:00"/>
        <d v="2026-04-12T00:00:00"/>
        <d v="2026-04-14T00:00:00"/>
        <d v="2026-04-16T00:00:00"/>
        <d v="2026-04-18T00:00:00"/>
        <d v="2026-04-20T00:00:00"/>
        <d v="2026-04-22T00:00:00"/>
        <d v="2026-04-24T00:00:00"/>
        <d v="2026-04-26T00:00:00"/>
      </sharedItems>
      <fieldGroup par="9"/>
    </cacheField>
    <cacheField name="Supplier" numFmtId="0">
      <sharedItems count="9">
        <s v="TechSource India"/>
        <s v="Prime Office Supplies"/>
        <s v="Metro Traders"/>
        <s v="Elite Electronics"/>
        <s v="Bright Stationers"/>
        <s v="SmartTech Solutions"/>
        <s v="Urban Furniture Hub"/>
        <s v="Galaxy Wholesale"/>
        <s v="Zenith Business Supplies"/>
      </sharedItems>
    </cacheField>
    <cacheField name="Product ID" numFmtId="0">
      <sharedItems/>
    </cacheField>
    <cacheField name="Product" numFmtId="0">
      <sharedItems/>
    </cacheField>
    <cacheField name="Qty Purchased" numFmtId="0">
      <sharedItems containsSemiMixedTypes="0" containsString="0" containsNumber="1" containsInteger="1" minValue="5" maxValue="250"/>
    </cacheField>
    <cacheField name="Cost Price" numFmtId="0">
      <sharedItems containsSemiMixedTypes="0" containsString="0" containsNumber="1" containsInteger="1" minValue="12" maxValue="5800"/>
    </cacheField>
    <cacheField name="Total Cost" numFmtId="0">
      <sharedItems containsSemiMixedTypes="0" containsString="0" containsNumber="1" containsInteger="1" minValue="1800" maxValue="38400"/>
    </cacheField>
    <cacheField name="Days (Date)" numFmtId="0" databaseField="0">
      <fieldGroup base="1">
        <rangePr groupBy="days" startDate="2026-01-01T00:00:00" endDate="2026-04-27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4-2026"/>
        </groupItems>
      </fieldGroup>
    </cacheField>
    <cacheField name="Months (Date)" numFmtId="0" databaseField="0">
      <fieldGroup base="1">
        <rangePr groupBy="months" startDate="2026-01-01T00:00:00" endDate="2026-04-27T00:00:00"/>
        <groupItems count="14">
          <s v="&lt;01-01-2026"/>
          <s v="Jan"/>
          <s v="Feb"/>
          <s v="Mar"/>
          <s v="Apr"/>
          <s v="May"/>
          <s v="Jun"/>
          <s v="Jul"/>
          <s v="Aug"/>
          <s v="Sep"/>
          <s v="Oct"/>
          <s v="Nov"/>
          <s v="Dec"/>
          <s v="&gt;27-04-2026"/>
        </groupItems>
      </fieldGroup>
    </cacheField>
  </cacheFields>
  <extLst>
    <ext xmlns:x14="http://schemas.microsoft.com/office/spreadsheetml/2009/9/main" uri="{725AE2AE-9491-48be-B2B4-4EB974FC3084}">
      <x14:pivotCacheDefinition pivotCacheId="137157167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pin" refreshedDate="46225.551265509261" createdVersion="8" refreshedVersion="8" minRefreshableVersion="3" recordCount="120" xr:uid="{C4875A5B-7B3E-4396-A21F-AB86BFA043A8}">
  <cacheSource type="worksheet">
    <worksheetSource name="tblSales"/>
  </cacheSource>
  <cacheFields count="10">
    <cacheField name="Invoice No" numFmtId="0">
      <sharedItems/>
    </cacheField>
    <cacheField name="Date" numFmtId="15">
      <sharedItems containsSemiMixedTypes="0" containsNonDate="0" containsDate="1" containsString="0" minDate="2026-01-05T00:00:00" maxDate="2026-05-27T00:00:00" count="120">
        <d v="2026-01-05T00:00:00"/>
        <d v="2026-01-06T00:00:00"/>
        <d v="2026-01-07T00:00:00"/>
        <d v="2026-01-08T00:00:00"/>
        <d v="2026-01-09T00:00:00"/>
        <d v="2026-01-10T00:00:00"/>
        <d v="2026-01-11T00:00:00"/>
        <d v="2026-01-12T00:00:00"/>
        <d v="2026-01-13T00:00:00"/>
        <d v="2026-01-15T00:00:00"/>
        <d v="2026-01-17T00:00:00"/>
        <d v="2026-01-18T00:00:00"/>
        <d v="2026-01-20T00:00:00"/>
        <d v="2026-01-22T00:00:00"/>
        <d v="2026-01-24T00:00:00"/>
        <d v="2026-01-27T00:00:00"/>
        <d v="2026-01-29T00:00:00"/>
        <d v="2026-01-31T00:00:00"/>
        <d v="2026-02-02T00:00:00"/>
        <d v="2026-02-04T00:00:00"/>
        <d v="2026-02-06T00:00:00"/>
        <d v="2026-02-08T00:00:00"/>
        <d v="2026-02-10T00:00:00"/>
        <d v="2026-02-12T00:00:00"/>
        <d v="2026-02-14T00:00:00"/>
        <d v="2026-02-16T00:00:00"/>
        <d v="2026-02-18T00:00:00"/>
        <d v="2026-02-20T00:00:00"/>
        <d v="2026-02-22T00:00:00"/>
        <d v="2026-02-24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sharedItems>
      <fieldGroup par="9"/>
    </cacheField>
    <cacheField name="Customer" numFmtId="0">
      <sharedItems count="10">
        <s v="Apex Retail"/>
        <s v="Bright Stores"/>
        <s v="City Mart"/>
        <s v="Elite Traders"/>
        <s v="Future Electronics"/>
        <s v="Global Supplies"/>
        <s v="Metro Bazaar"/>
        <s v="Nova Enterprises"/>
        <s v="Prime Retailers"/>
        <s v="Sunrise Distributors"/>
      </sharedItems>
    </cacheField>
    <cacheField name="Product ID" numFmtId="0">
      <sharedItems/>
    </cacheField>
    <cacheField name="Product Name" numFmtId="0">
      <sharedItems/>
    </cacheField>
    <cacheField name="Qty Sold" numFmtId="0">
      <sharedItems containsSemiMixedTypes="0" containsString="0" containsNumber="1" containsInteger="1" minValue="2" maxValue="100"/>
    </cacheField>
    <cacheField name="Selling Price" numFmtId="0">
      <sharedItems containsSemiMixedTypes="0" containsString="0" containsNumber="1" containsInteger="1" minValue="25" maxValue="7800"/>
    </cacheField>
    <cacheField name="Total Sales" numFmtId="0">
      <sharedItems containsSemiMixedTypes="0" containsString="0" containsNumber="1" containsInteger="1" minValue="1750" maxValue="18600"/>
    </cacheField>
    <cacheField name="Days (Date)" numFmtId="0" databaseField="0">
      <fieldGroup base="1">
        <rangePr groupBy="days" startDate="2026-01-05T00:00:00" endDate="2026-05-27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5-2026"/>
        </groupItems>
      </fieldGroup>
    </cacheField>
    <cacheField name="Months (Date)" numFmtId="0" databaseField="0">
      <fieldGroup base="1">
        <rangePr groupBy="months" startDate="2026-01-05T00:00:00" endDate="2026-05-27T00:00:00"/>
        <groupItems count="14">
          <s v="&lt;05-01-2026"/>
          <s v="Jan"/>
          <s v="Feb"/>
          <s v="Mar"/>
          <s v="Apr"/>
          <s v="May"/>
          <s v="Jun"/>
          <s v="Jul"/>
          <s v="Aug"/>
          <s v="Sep"/>
          <s v="Oct"/>
          <s v="Nov"/>
          <s v="Dec"/>
          <s v="&gt;27-05-2026"/>
        </groupItems>
      </fieldGroup>
    </cacheField>
  </cacheFields>
  <extLst>
    <ext xmlns:x14="http://schemas.microsoft.com/office/spreadsheetml/2009/9/main" uri="{725AE2AE-9491-48be-B2B4-4EB974FC3084}">
      <x14:pivotCacheDefinition pivotCacheId="5231326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P001"/>
    <x v="0"/>
    <x v="0"/>
    <n v="100"/>
    <n v="180"/>
    <n v="127"/>
    <n v="450"/>
    <n v="650"/>
    <n v="153"/>
    <n v="68850"/>
    <s v="In Stock"/>
  </r>
  <r>
    <s v="P002"/>
    <x v="1"/>
    <x v="0"/>
    <n v="80"/>
    <n v="55"/>
    <n v="25"/>
    <n v="900"/>
    <n v="1300"/>
    <n v="110"/>
    <n v="99000"/>
    <s v="In Stock"/>
  </r>
  <r>
    <s v="P003"/>
    <x v="2"/>
    <x v="0"/>
    <n v="120"/>
    <n v="210"/>
    <n v="125"/>
    <n v="350"/>
    <n v="550"/>
    <n v="205"/>
    <n v="71750"/>
    <s v="In Stock"/>
  </r>
  <r>
    <s v="P004"/>
    <x v="3"/>
    <x v="0"/>
    <n v="40"/>
    <n v="22"/>
    <n v="9"/>
    <n v="3200"/>
    <n v="4200"/>
    <n v="53"/>
    <n v="169600"/>
    <s v="In Stock"/>
  </r>
  <r>
    <s v="P005"/>
    <x v="4"/>
    <x v="0"/>
    <n v="150"/>
    <n v="190"/>
    <n v="129"/>
    <n v="180"/>
    <n v="350"/>
    <n v="211"/>
    <n v="37980"/>
    <s v="In Stock"/>
  </r>
  <r>
    <s v="P006"/>
    <x v="5"/>
    <x v="1"/>
    <n v="300"/>
    <n v="270"/>
    <n v="208"/>
    <n v="45"/>
    <n v="80"/>
    <n v="362"/>
    <n v="16290"/>
    <s v="In Stock"/>
  </r>
  <r>
    <s v="P007"/>
    <x v="6"/>
    <x v="1"/>
    <n v="500"/>
    <n v="780"/>
    <n v="520"/>
    <n v="12"/>
    <n v="25"/>
    <n v="760"/>
    <n v="9120"/>
    <s v="In Stock"/>
  </r>
  <r>
    <s v="P008"/>
    <x v="7"/>
    <x v="1"/>
    <n v="90"/>
    <n v="85"/>
    <n v="43"/>
    <n v="110"/>
    <n v="180"/>
    <n v="132"/>
    <n v="14520"/>
    <s v="In Stock"/>
  </r>
  <r>
    <s v="P009"/>
    <x v="8"/>
    <x v="1"/>
    <n v="100"/>
    <n v="180"/>
    <n v="111"/>
    <n v="220"/>
    <n v="320"/>
    <n v="169"/>
    <n v="37180"/>
    <s v="In Stock"/>
  </r>
  <r>
    <s v="P010"/>
    <x v="9"/>
    <x v="1"/>
    <n v="75"/>
    <n v="90"/>
    <n v="56"/>
    <n v="95"/>
    <n v="160"/>
    <n v="109"/>
    <n v="10355"/>
    <s v="In Stock"/>
  </r>
  <r>
    <s v="P011"/>
    <x v="10"/>
    <x v="2"/>
    <n v="25"/>
    <n v="18"/>
    <n v="9"/>
    <n v="3500"/>
    <n v="5000"/>
    <n v="34"/>
    <n v="119000"/>
    <s v="In Stock"/>
  </r>
  <r>
    <s v="P012"/>
    <x v="11"/>
    <x v="2"/>
    <n v="18"/>
    <n v="15"/>
    <n v="7"/>
    <n v="4200"/>
    <n v="6200"/>
    <n v="26"/>
    <n v="109200"/>
    <s v="In Stock"/>
  </r>
  <r>
    <s v="P013"/>
    <x v="12"/>
    <x v="2"/>
    <n v="15"/>
    <n v="11"/>
    <n v="6"/>
    <n v="2800"/>
    <n v="4200"/>
    <n v="20"/>
    <n v="56000"/>
    <s v="In Stock"/>
  </r>
  <r>
    <s v="P014"/>
    <x v="13"/>
    <x v="2"/>
    <n v="50"/>
    <n v="55"/>
    <n v="41"/>
    <n v="650"/>
    <n v="950"/>
    <n v="64"/>
    <n v="41600"/>
    <s v="In Stock"/>
  </r>
  <r>
    <s v="P015"/>
    <x v="14"/>
    <x v="2"/>
    <n v="12"/>
    <n v="11"/>
    <n v="2"/>
    <n v="5800"/>
    <n v="7800"/>
    <n v="21"/>
    <n v="121800"/>
    <s v="In Stock"/>
  </r>
  <r>
    <s v="P016"/>
    <x v="15"/>
    <x v="3"/>
    <n v="180"/>
    <n v="230"/>
    <n v="185"/>
    <n v="120"/>
    <n v="220"/>
    <n v="225"/>
    <n v="27000"/>
    <s v="In Stock"/>
  </r>
  <r>
    <s v="P017"/>
    <x v="16"/>
    <x v="3"/>
    <n v="60"/>
    <n v="55"/>
    <n v="55"/>
    <n v="850"/>
    <n v="1300"/>
    <n v="60"/>
    <n v="51000"/>
    <s v="In Stock"/>
  </r>
  <r>
    <s v="P018"/>
    <x v="17"/>
    <x v="3"/>
    <n v="140"/>
    <n v="110"/>
    <n v="100"/>
    <n v="90"/>
    <n v="180"/>
    <n v="150"/>
    <n v="13500"/>
    <s v="In Stock"/>
  </r>
  <r>
    <s v="P019"/>
    <x v="18"/>
    <x v="0"/>
    <n v="55"/>
    <n v="38"/>
    <n v="29"/>
    <n v="950"/>
    <n v="1450"/>
    <n v="64"/>
    <n v="60800"/>
    <s v="In Stock"/>
  </r>
  <r>
    <s v="P020"/>
    <x v="19"/>
    <x v="0"/>
    <n v="45"/>
    <n v="50"/>
    <n v="32"/>
    <n v="1100"/>
    <n v="1700"/>
    <n v="63"/>
    <n v="69300"/>
    <s v="In Stock"/>
  </r>
  <r>
    <s v="P021"/>
    <x v="20"/>
    <x v="1"/>
    <n v="250"/>
    <n v="260"/>
    <n v="322"/>
    <n v="30"/>
    <n v="55"/>
    <n v="188"/>
    <n v="5640"/>
    <s v="In Stock"/>
  </r>
  <r>
    <s v="P022"/>
    <x v="21"/>
    <x v="0"/>
    <n v="70"/>
    <n v="75"/>
    <n v="52"/>
    <n v="350"/>
    <n v="550"/>
    <n v="93"/>
    <n v="32550"/>
    <s v="In Stock"/>
  </r>
  <r>
    <s v="P023"/>
    <x v="22"/>
    <x v="0"/>
    <n v="90"/>
    <n v="100"/>
    <n v="83"/>
    <n v="280"/>
    <n v="450"/>
    <n v="107"/>
    <n v="29960"/>
    <s v="In Stock"/>
  </r>
  <r>
    <s v="P024"/>
    <x v="23"/>
    <x v="1"/>
    <n v="350"/>
    <n v="330"/>
    <n v="520"/>
    <n v="18"/>
    <n v="35"/>
    <n v="160"/>
    <n v="2880"/>
    <s v="In Stock"/>
  </r>
  <r>
    <s v="P025"/>
    <x v="24"/>
    <x v="3"/>
    <n v="85"/>
    <n v="75"/>
    <n v="56"/>
    <n v="220"/>
    <n v="380"/>
    <n v="104"/>
    <n v="22880"/>
    <s v="In Stoc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PO001"/>
    <x v="0"/>
    <x v="0"/>
    <s v="P001"/>
    <s v="Wireless Mouse"/>
    <n v="50"/>
    <n v="450"/>
    <n v="22500"/>
  </r>
  <r>
    <s v="PO002"/>
    <x v="1"/>
    <x v="1"/>
    <s v="P006"/>
    <s v="Notebook A5"/>
    <n v="100"/>
    <n v="45"/>
    <n v="4500"/>
  </r>
  <r>
    <s v="PO003"/>
    <x v="2"/>
    <x v="2"/>
    <s v="P007"/>
    <s v="Ball Pen"/>
    <n v="200"/>
    <n v="12"/>
    <n v="2400"/>
  </r>
  <r>
    <s v="PO004"/>
    <x v="3"/>
    <x v="3"/>
    <s v="P005"/>
    <s v="HDMI Cable"/>
    <n v="75"/>
    <n v="180"/>
    <n v="13500"/>
  </r>
  <r>
    <s v="PO005"/>
    <x v="4"/>
    <x v="4"/>
    <s v="P009"/>
    <s v="Printer Paper (500 Sheets)"/>
    <n v="60"/>
    <n v="220"/>
    <n v="13200"/>
  </r>
  <r>
    <s v="PO006"/>
    <x v="5"/>
    <x v="5"/>
    <s v="P002"/>
    <s v="Wireless Keyboard"/>
    <n v="30"/>
    <n v="900"/>
    <n v="27000"/>
  </r>
  <r>
    <s v="PO007"/>
    <x v="6"/>
    <x v="6"/>
    <s v="P011"/>
    <s v="Office Chair"/>
    <n v="10"/>
    <n v="3500"/>
    <n v="35000"/>
  </r>
  <r>
    <s v="PO008"/>
    <x v="7"/>
    <x v="7"/>
    <s v="P017"/>
    <s v="Laptop Backpack"/>
    <n v="25"/>
    <n v="850"/>
    <n v="21250"/>
  </r>
  <r>
    <s v="PO009"/>
    <x v="8"/>
    <x v="8"/>
    <s v="P020"/>
    <s v="Bluetooth Speaker"/>
    <n v="15"/>
    <n v="1100"/>
    <n v="16500"/>
  </r>
  <r>
    <s v="PO010"/>
    <x v="9"/>
    <x v="0"/>
    <s v="P003"/>
    <s v="USB Flash Drive 32GB"/>
    <n v="80"/>
    <n v="350"/>
    <n v="28000"/>
  </r>
  <r>
    <s v="PO011"/>
    <x v="10"/>
    <x v="1"/>
    <s v="P022"/>
    <s v="Calculator"/>
    <n v="35"/>
    <n v="350"/>
    <n v="12250"/>
  </r>
  <r>
    <s v="PO012"/>
    <x v="11"/>
    <x v="2"/>
    <s v="P024"/>
    <s v="File Folder"/>
    <n v="150"/>
    <n v="18"/>
    <n v="2700"/>
  </r>
  <r>
    <s v="PO013"/>
    <x v="12"/>
    <x v="3"/>
    <s v="P019"/>
    <s v="Power Bank 10000mAh"/>
    <n v="20"/>
    <n v="950"/>
    <n v="19000"/>
  </r>
  <r>
    <s v="PO014"/>
    <x v="13"/>
    <x v="4"/>
    <s v="P010"/>
    <s v="Highlighter Set"/>
    <n v="40"/>
    <n v="95"/>
    <n v="3800"/>
  </r>
  <r>
    <s v="PO015"/>
    <x v="14"/>
    <x v="5"/>
    <s v="P018"/>
    <s v="Mobile Stand"/>
    <n v="50"/>
    <n v="90"/>
    <n v="4500"/>
  </r>
  <r>
    <s v="PO016"/>
    <x v="15"/>
    <x v="6"/>
    <s v="P012"/>
    <s v="Study Table"/>
    <n v="8"/>
    <n v="4200"/>
    <n v="33600"/>
  </r>
  <r>
    <s v="PO017"/>
    <x v="16"/>
    <x v="7"/>
    <s v="P015"/>
    <s v="Storage Cabinet"/>
    <n v="6"/>
    <n v="5800"/>
    <n v="34800"/>
  </r>
  <r>
    <s v="PO018"/>
    <x v="17"/>
    <x v="8"/>
    <s v="P016"/>
    <s v="Water Bottle 1L"/>
    <n v="90"/>
    <n v="120"/>
    <n v="10800"/>
  </r>
  <r>
    <s v="PO019"/>
    <x v="18"/>
    <x v="0"/>
    <s v="P023"/>
    <s v="Extension Board"/>
    <n v="45"/>
    <n v="280"/>
    <n v="12600"/>
  </r>
  <r>
    <s v="PO020"/>
    <x v="19"/>
    <x v="1"/>
    <s v="P021"/>
    <s v="Whiteboard Marker"/>
    <n v="120"/>
    <n v="30"/>
    <n v="3600"/>
  </r>
  <r>
    <s v="PO021"/>
    <x v="20"/>
    <x v="2"/>
    <s v="P008"/>
    <s v="Stapler"/>
    <n v="40"/>
    <n v="110"/>
    <n v="4400"/>
  </r>
  <r>
    <s v="PO022"/>
    <x v="21"/>
    <x v="3"/>
    <s v="P004"/>
    <s v="External Hard Drive 1TB"/>
    <n v="12"/>
    <n v="3200"/>
    <n v="38400"/>
  </r>
  <r>
    <s v="PO023"/>
    <x v="22"/>
    <x v="4"/>
    <s v="P025"/>
    <s v="Desk Organizer"/>
    <n v="35"/>
    <n v="220"/>
    <n v="7700"/>
  </r>
  <r>
    <s v="PO024"/>
    <x v="23"/>
    <x v="5"/>
    <s v="P013"/>
    <s v="Bookshelf"/>
    <n v="5"/>
    <n v="2800"/>
    <n v="14000"/>
  </r>
  <r>
    <s v="PO025"/>
    <x v="24"/>
    <x v="6"/>
    <s v="P014"/>
    <s v="LED Desk Lamp"/>
    <n v="25"/>
    <n v="650"/>
    <n v="16250"/>
  </r>
  <r>
    <s v="PO026"/>
    <x v="25"/>
    <x v="7"/>
    <s v="P001"/>
    <s v="Wireless Mouse"/>
    <n v="40"/>
    <n v="450"/>
    <n v="18000"/>
  </r>
  <r>
    <s v="PO027"/>
    <x v="26"/>
    <x v="8"/>
    <s v="P006"/>
    <s v="Notebook A5"/>
    <n v="80"/>
    <n v="45"/>
    <n v="3600"/>
  </r>
  <r>
    <s v="PO028"/>
    <x v="27"/>
    <x v="0"/>
    <s v="P007"/>
    <s v="Ball Pen"/>
    <n v="150"/>
    <n v="12"/>
    <n v="1800"/>
  </r>
  <r>
    <s v="PO029"/>
    <x v="28"/>
    <x v="1"/>
    <s v="P005"/>
    <s v="HDMI Cable"/>
    <n v="50"/>
    <n v="180"/>
    <n v="9000"/>
  </r>
  <r>
    <s v="PO030"/>
    <x v="29"/>
    <x v="2"/>
    <s v="P016"/>
    <s v="Water Bottle 1L"/>
    <n v="60"/>
    <n v="120"/>
    <n v="7200"/>
  </r>
  <r>
    <s v="PO031"/>
    <x v="30"/>
    <x v="3"/>
    <s v="P003"/>
    <s v="USB Flash Drive 32GB"/>
    <n v="60"/>
    <n v="350"/>
    <n v="21000"/>
  </r>
  <r>
    <s v="PO032"/>
    <x v="31"/>
    <x v="0"/>
    <s v="P001"/>
    <s v="Wireless Mouse"/>
    <n v="35"/>
    <n v="450"/>
    <n v="15750"/>
  </r>
  <r>
    <s v="PO033"/>
    <x v="32"/>
    <x v="1"/>
    <s v="P009"/>
    <s v="Printer Paper (500 Sheets)"/>
    <n v="70"/>
    <n v="220"/>
    <n v="15400"/>
  </r>
  <r>
    <s v="PO034"/>
    <x v="33"/>
    <x v="5"/>
    <s v="P019"/>
    <s v="Power Bank 10000mAh"/>
    <n v="18"/>
    <n v="950"/>
    <n v="17100"/>
  </r>
  <r>
    <s v="PO035"/>
    <x v="34"/>
    <x v="6"/>
    <s v="P011"/>
    <s v="Office Chair"/>
    <n v="8"/>
    <n v="3500"/>
    <n v="28000"/>
  </r>
  <r>
    <s v="PO036"/>
    <x v="35"/>
    <x v="4"/>
    <s v="P024"/>
    <s v="File Folder"/>
    <n v="180"/>
    <n v="18"/>
    <n v="3240"/>
  </r>
  <r>
    <s v="PO037"/>
    <x v="36"/>
    <x v="7"/>
    <s v="P020"/>
    <s v="Bluetooth Speaker"/>
    <n v="20"/>
    <n v="1100"/>
    <n v="22000"/>
  </r>
  <r>
    <s v="PO038"/>
    <x v="37"/>
    <x v="8"/>
    <s v="P006"/>
    <s v="Notebook A5"/>
    <n v="90"/>
    <n v="45"/>
    <n v="4050"/>
  </r>
  <r>
    <s v="PO039"/>
    <x v="38"/>
    <x v="2"/>
    <s v="P007"/>
    <s v="Ball Pen"/>
    <n v="250"/>
    <n v="12"/>
    <n v="3000"/>
  </r>
  <r>
    <s v="PO040"/>
    <x v="39"/>
    <x v="3"/>
    <s v="P005"/>
    <s v="HDMI Cable"/>
    <n v="65"/>
    <n v="180"/>
    <n v="11700"/>
  </r>
  <r>
    <s v="PO041"/>
    <x v="40"/>
    <x v="0"/>
    <s v="P023"/>
    <s v="Extension Board"/>
    <n v="55"/>
    <n v="280"/>
    <n v="15400"/>
  </r>
  <r>
    <s v="PO042"/>
    <x v="41"/>
    <x v="1"/>
    <s v="P010"/>
    <s v="Highlighter Set"/>
    <n v="50"/>
    <n v="95"/>
    <n v="4750"/>
  </r>
  <r>
    <s v="PO043"/>
    <x v="42"/>
    <x v="5"/>
    <s v="P017"/>
    <s v="Laptop Backpack"/>
    <n v="30"/>
    <n v="850"/>
    <n v="25500"/>
  </r>
  <r>
    <s v="PO044"/>
    <x v="43"/>
    <x v="6"/>
    <s v="P012"/>
    <s v="Study Table"/>
    <n v="7"/>
    <n v="4200"/>
    <n v="29400"/>
  </r>
  <r>
    <s v="PO045"/>
    <x v="44"/>
    <x v="4"/>
    <s v="P021"/>
    <s v="Whiteboard Marker"/>
    <n v="140"/>
    <n v="30"/>
    <n v="4200"/>
  </r>
  <r>
    <s v="PO046"/>
    <x v="45"/>
    <x v="7"/>
    <s v="P022"/>
    <s v="Calculator"/>
    <n v="40"/>
    <n v="350"/>
    <n v="14000"/>
  </r>
  <r>
    <s v="PO047"/>
    <x v="46"/>
    <x v="8"/>
    <s v="P016"/>
    <s v="Water Bottle 1L"/>
    <n v="80"/>
    <n v="120"/>
    <n v="9600"/>
  </r>
  <r>
    <s v="PO048"/>
    <x v="47"/>
    <x v="2"/>
    <s v="P014"/>
    <s v="LED Desk Lamp"/>
    <n v="30"/>
    <n v="650"/>
    <n v="19500"/>
  </r>
  <r>
    <s v="PO049"/>
    <x v="48"/>
    <x v="3"/>
    <s v="P004"/>
    <s v="External Hard Drive 1TB"/>
    <n v="10"/>
    <n v="3200"/>
    <n v="32000"/>
  </r>
  <r>
    <s v="PO050"/>
    <x v="49"/>
    <x v="0"/>
    <s v="P018"/>
    <s v="Mobile Stand"/>
    <n v="60"/>
    <n v="90"/>
    <n v="5400"/>
  </r>
  <r>
    <s v="PO051"/>
    <x v="50"/>
    <x v="1"/>
    <s v="P008"/>
    <s v="Stapler"/>
    <n v="45"/>
    <n v="110"/>
    <n v="4950"/>
  </r>
  <r>
    <s v="PO052"/>
    <x v="51"/>
    <x v="5"/>
    <s v="P002"/>
    <s v="Wireless Keyboard"/>
    <n v="25"/>
    <n v="900"/>
    <n v="22500"/>
  </r>
  <r>
    <s v="PO053"/>
    <x v="52"/>
    <x v="6"/>
    <s v="P013"/>
    <s v="Bookshelf"/>
    <n v="6"/>
    <n v="2800"/>
    <n v="16800"/>
  </r>
  <r>
    <s v="PO054"/>
    <x v="53"/>
    <x v="4"/>
    <s v="P015"/>
    <s v="Storage Cabinet"/>
    <n v="5"/>
    <n v="5800"/>
    <n v="29000"/>
  </r>
  <r>
    <s v="PO055"/>
    <x v="54"/>
    <x v="7"/>
    <s v="P025"/>
    <s v="Desk Organizer"/>
    <n v="40"/>
    <n v="220"/>
    <n v="8800"/>
  </r>
  <r>
    <s v="PO056"/>
    <x v="55"/>
    <x v="8"/>
    <s v="P001"/>
    <s v="Wireless Mouse"/>
    <n v="55"/>
    <n v="450"/>
    <n v="24750"/>
  </r>
  <r>
    <s v="PO057"/>
    <x v="56"/>
    <x v="2"/>
    <s v="P003"/>
    <s v="USB Flash Drive 32GB"/>
    <n v="70"/>
    <n v="350"/>
    <n v="24500"/>
  </r>
  <r>
    <s v="PO058"/>
    <x v="57"/>
    <x v="3"/>
    <s v="P020"/>
    <s v="Bluetooth Speaker"/>
    <n v="15"/>
    <n v="1100"/>
    <n v="16500"/>
  </r>
  <r>
    <s v="PO059"/>
    <x v="58"/>
    <x v="1"/>
    <s v="P009"/>
    <s v="Printer Paper (500 Sheets)"/>
    <n v="50"/>
    <n v="220"/>
    <n v="11000"/>
  </r>
  <r>
    <s v="PO060"/>
    <x v="59"/>
    <x v="5"/>
    <s v="P007"/>
    <s v="Ball Pen"/>
    <n v="180"/>
    <n v="12"/>
    <n v="216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INV001"/>
    <x v="0"/>
    <x v="0"/>
    <s v="P001"/>
    <s v="Wireless Mouse"/>
    <n v="15"/>
    <n v="650"/>
    <n v="9750"/>
  </r>
  <r>
    <s v="INV002"/>
    <x v="1"/>
    <x v="1"/>
    <s v="P006"/>
    <s v="Notebook A5"/>
    <n v="40"/>
    <n v="80"/>
    <n v="3200"/>
  </r>
  <r>
    <s v="INV003"/>
    <x v="2"/>
    <x v="2"/>
    <s v="P007"/>
    <s v="Ball Pen"/>
    <n v="70"/>
    <n v="25"/>
    <n v="1750"/>
  </r>
  <r>
    <s v="INV004"/>
    <x v="3"/>
    <x v="3"/>
    <s v="P005"/>
    <s v="HDMI Cable"/>
    <n v="20"/>
    <n v="350"/>
    <n v="7000"/>
  </r>
  <r>
    <s v="INV005"/>
    <x v="4"/>
    <x v="4"/>
    <s v="P002"/>
    <s v="Wireless Keyboard"/>
    <n v="10"/>
    <n v="1300"/>
    <n v="13000"/>
  </r>
  <r>
    <s v="INV006"/>
    <x v="5"/>
    <x v="5"/>
    <s v="P003"/>
    <s v="USB Flash Drive 32GB"/>
    <n v="25"/>
    <n v="550"/>
    <n v="13750"/>
  </r>
  <r>
    <s v="INV007"/>
    <x v="6"/>
    <x v="6"/>
    <s v="P011"/>
    <s v="Office Chair"/>
    <n v="3"/>
    <n v="5000"/>
    <n v="15000"/>
  </r>
  <r>
    <s v="INV008"/>
    <x v="7"/>
    <x v="7"/>
    <s v="P017"/>
    <s v="Laptop Backpack"/>
    <n v="8"/>
    <n v="1300"/>
    <n v="10400"/>
  </r>
  <r>
    <s v="INV009"/>
    <x v="8"/>
    <x v="8"/>
    <s v="P020"/>
    <s v="Bluetooth Speaker"/>
    <n v="5"/>
    <n v="1700"/>
    <n v="8500"/>
  </r>
  <r>
    <s v="INV010"/>
    <x v="9"/>
    <x v="9"/>
    <s v="P016"/>
    <s v="Water Bottle 1L"/>
    <n v="30"/>
    <n v="220"/>
    <n v="6600"/>
  </r>
  <r>
    <s v="INV011"/>
    <x v="10"/>
    <x v="0"/>
    <s v="P023"/>
    <s v="Extension Board"/>
    <n v="15"/>
    <n v="450"/>
    <n v="6750"/>
  </r>
  <r>
    <s v="INV012"/>
    <x v="11"/>
    <x v="1"/>
    <s v="P021"/>
    <s v="Whiteboard Marker"/>
    <n v="60"/>
    <n v="55"/>
    <n v="3300"/>
  </r>
  <r>
    <s v="INV013"/>
    <x v="12"/>
    <x v="2"/>
    <s v="P008"/>
    <s v="Stapler"/>
    <n v="10"/>
    <n v="180"/>
    <n v="1800"/>
  </r>
  <r>
    <s v="INV014"/>
    <x v="13"/>
    <x v="3"/>
    <s v="P014"/>
    <s v="LED Desk Lamp"/>
    <n v="8"/>
    <n v="950"/>
    <n v="7600"/>
  </r>
  <r>
    <s v="INV015"/>
    <x v="14"/>
    <x v="4"/>
    <s v="P022"/>
    <s v="Calculator"/>
    <n v="12"/>
    <n v="550"/>
    <n v="6600"/>
  </r>
  <r>
    <s v="INV016"/>
    <x v="15"/>
    <x v="5"/>
    <s v="P004"/>
    <s v="External Hard Drive 1TB"/>
    <n v="4"/>
    <n v="4200"/>
    <n v="16800"/>
  </r>
  <r>
    <s v="INV017"/>
    <x v="16"/>
    <x v="6"/>
    <s v="P018"/>
    <s v="Mobile Stand"/>
    <n v="25"/>
    <n v="180"/>
    <n v="4500"/>
  </r>
  <r>
    <s v="INV018"/>
    <x v="17"/>
    <x v="7"/>
    <s v="P019"/>
    <s v="Power Bank 10000mAh"/>
    <n v="10"/>
    <n v="1450"/>
    <n v="14500"/>
  </r>
  <r>
    <s v="INV019"/>
    <x v="18"/>
    <x v="8"/>
    <s v="P024"/>
    <s v="File Folder"/>
    <n v="100"/>
    <n v="35"/>
    <n v="3500"/>
  </r>
  <r>
    <s v="INV020"/>
    <x v="19"/>
    <x v="9"/>
    <s v="P009"/>
    <s v="Printer Paper (500 Sheets)"/>
    <n v="18"/>
    <n v="320"/>
    <n v="5760"/>
  </r>
  <r>
    <s v="INV021"/>
    <x v="20"/>
    <x v="0"/>
    <s v="P010"/>
    <s v="Highlighter Set"/>
    <n v="15"/>
    <n v="160"/>
    <n v="2400"/>
  </r>
  <r>
    <s v="INV022"/>
    <x v="21"/>
    <x v="1"/>
    <s v="P012"/>
    <s v="Study Table"/>
    <n v="2"/>
    <n v="6200"/>
    <n v="12400"/>
  </r>
  <r>
    <s v="INV023"/>
    <x v="22"/>
    <x v="2"/>
    <s v="P013"/>
    <s v="Bookshelf"/>
    <n v="2"/>
    <n v="4200"/>
    <n v="8400"/>
  </r>
  <r>
    <s v="INV024"/>
    <x v="23"/>
    <x v="3"/>
    <s v="P015"/>
    <s v="Storage Cabinet"/>
    <n v="2"/>
    <n v="7800"/>
    <n v="15600"/>
  </r>
  <r>
    <s v="INV025"/>
    <x v="24"/>
    <x v="4"/>
    <s v="P001"/>
    <s v="Wireless Mouse"/>
    <n v="18"/>
    <n v="650"/>
    <n v="11700"/>
  </r>
  <r>
    <s v="INV026"/>
    <x v="25"/>
    <x v="5"/>
    <s v="P006"/>
    <s v="Notebook A5"/>
    <n v="35"/>
    <n v="80"/>
    <n v="2800"/>
  </r>
  <r>
    <s v="INV027"/>
    <x v="26"/>
    <x v="6"/>
    <s v="P007"/>
    <s v="Ball Pen"/>
    <n v="90"/>
    <n v="25"/>
    <n v="2250"/>
  </r>
  <r>
    <s v="INV028"/>
    <x v="27"/>
    <x v="7"/>
    <s v="P005"/>
    <s v="HDMI Cable"/>
    <n v="25"/>
    <n v="350"/>
    <n v="8750"/>
  </r>
  <r>
    <s v="INV029"/>
    <x v="28"/>
    <x v="8"/>
    <s v="P016"/>
    <s v="Water Bottle 1L"/>
    <n v="40"/>
    <n v="220"/>
    <n v="8800"/>
  </r>
  <r>
    <s v="INV030"/>
    <x v="29"/>
    <x v="9"/>
    <s v="P021"/>
    <s v="Whiteboard Marker"/>
    <n v="50"/>
    <n v="55"/>
    <n v="2750"/>
  </r>
  <r>
    <s v="INV031"/>
    <x v="30"/>
    <x v="0"/>
    <s v="P003"/>
    <s v="USB Flash Drive 32GB"/>
    <n v="18"/>
    <n v="550"/>
    <n v="9900"/>
  </r>
  <r>
    <s v="INV032"/>
    <x v="31"/>
    <x v="1"/>
    <s v="P001"/>
    <s v="Wireless Mouse"/>
    <n v="12"/>
    <n v="650"/>
    <n v="7800"/>
  </r>
  <r>
    <s v="INV033"/>
    <x v="32"/>
    <x v="2"/>
    <s v="P009"/>
    <s v="Printer Paper (500 Sheets)"/>
    <n v="22"/>
    <n v="320"/>
    <n v="7040"/>
  </r>
  <r>
    <s v="INV034"/>
    <x v="33"/>
    <x v="3"/>
    <s v="P020"/>
    <s v="Bluetooth Speaker"/>
    <n v="5"/>
    <n v="1700"/>
    <n v="8500"/>
  </r>
  <r>
    <s v="INV035"/>
    <x v="34"/>
    <x v="4"/>
    <s v="P011"/>
    <s v="Office Chair"/>
    <n v="2"/>
    <n v="5000"/>
    <n v="10000"/>
  </r>
  <r>
    <s v="INV036"/>
    <x v="35"/>
    <x v="5"/>
    <s v="P024"/>
    <s v="File Folder"/>
    <n v="90"/>
    <n v="35"/>
    <n v="3150"/>
  </r>
  <r>
    <s v="INV037"/>
    <x v="36"/>
    <x v="6"/>
    <s v="P006"/>
    <s v="Notebook A5"/>
    <n v="35"/>
    <n v="80"/>
    <n v="2800"/>
  </r>
  <r>
    <s v="INV038"/>
    <x v="37"/>
    <x v="7"/>
    <s v="P019"/>
    <s v="Power Bank 10000mAh"/>
    <n v="8"/>
    <n v="1450"/>
    <n v="11600"/>
  </r>
  <r>
    <s v="INV039"/>
    <x v="38"/>
    <x v="8"/>
    <s v="P017"/>
    <s v="Laptop Backpack"/>
    <n v="10"/>
    <n v="1300"/>
    <n v="13000"/>
  </r>
  <r>
    <s v="INV040"/>
    <x v="39"/>
    <x v="9"/>
    <s v="P005"/>
    <s v="HDMI Cable"/>
    <n v="20"/>
    <n v="350"/>
    <n v="7000"/>
  </r>
  <r>
    <s v="INV041"/>
    <x v="40"/>
    <x v="0"/>
    <s v="P023"/>
    <s v="Extension Board"/>
    <n v="15"/>
    <n v="450"/>
    <n v="6750"/>
  </r>
  <r>
    <s v="INV042"/>
    <x v="41"/>
    <x v="1"/>
    <s v="P007"/>
    <s v="Ball Pen"/>
    <n v="85"/>
    <n v="25"/>
    <n v="2125"/>
  </r>
  <r>
    <s v="INV043"/>
    <x v="42"/>
    <x v="2"/>
    <s v="P016"/>
    <s v="Water Bottle 1L"/>
    <n v="25"/>
    <n v="220"/>
    <n v="5500"/>
  </r>
  <r>
    <s v="INV044"/>
    <x v="43"/>
    <x v="3"/>
    <s v="P021"/>
    <s v="Whiteboard Marker"/>
    <n v="40"/>
    <n v="55"/>
    <n v="2200"/>
  </r>
  <r>
    <s v="INV045"/>
    <x v="44"/>
    <x v="4"/>
    <s v="P014"/>
    <s v="LED Desk Lamp"/>
    <n v="6"/>
    <n v="950"/>
    <n v="5700"/>
  </r>
  <r>
    <s v="INV046"/>
    <x v="45"/>
    <x v="5"/>
    <s v="P012"/>
    <s v="Study Table"/>
    <n v="2"/>
    <n v="6200"/>
    <n v="12400"/>
  </r>
  <r>
    <s v="INV047"/>
    <x v="46"/>
    <x v="6"/>
    <s v="P010"/>
    <s v="Highlighter Set"/>
    <n v="14"/>
    <n v="160"/>
    <n v="2240"/>
  </r>
  <r>
    <s v="INV048"/>
    <x v="47"/>
    <x v="7"/>
    <s v="P022"/>
    <s v="Calculator"/>
    <n v="9"/>
    <n v="550"/>
    <n v="4950"/>
  </r>
  <r>
    <s v="INV049"/>
    <x v="48"/>
    <x v="8"/>
    <s v="P001"/>
    <s v="Wireless Mouse"/>
    <n v="20"/>
    <n v="650"/>
    <n v="13000"/>
  </r>
  <r>
    <s v="INV050"/>
    <x v="49"/>
    <x v="9"/>
    <s v="P018"/>
    <s v="Mobile Stand"/>
    <n v="30"/>
    <n v="180"/>
    <n v="5400"/>
  </r>
  <r>
    <s v="INV051"/>
    <x v="50"/>
    <x v="0"/>
    <s v="P004"/>
    <s v="External Hard Drive 1TB"/>
    <n v="3"/>
    <n v="4200"/>
    <n v="12600"/>
  </r>
  <r>
    <s v="INV052"/>
    <x v="51"/>
    <x v="1"/>
    <s v="P025"/>
    <s v="Desk Organizer"/>
    <n v="18"/>
    <n v="380"/>
    <n v="6840"/>
  </r>
  <r>
    <s v="INV053"/>
    <x v="52"/>
    <x v="2"/>
    <s v="P013"/>
    <s v="Bookshelf"/>
    <n v="2"/>
    <n v="4200"/>
    <n v="8400"/>
  </r>
  <r>
    <s v="INV054"/>
    <x v="53"/>
    <x v="3"/>
    <s v="P008"/>
    <s v="Stapler"/>
    <n v="12"/>
    <n v="180"/>
    <n v="2160"/>
  </r>
  <r>
    <s v="INV055"/>
    <x v="54"/>
    <x v="4"/>
    <s v="P002"/>
    <s v="Wireless Keyboard"/>
    <n v="8"/>
    <n v="1300"/>
    <n v="10400"/>
  </r>
  <r>
    <s v="INV056"/>
    <x v="55"/>
    <x v="5"/>
    <s v="P003"/>
    <s v="USB Flash Drive 32GB"/>
    <n v="24"/>
    <n v="550"/>
    <n v="13200"/>
  </r>
  <r>
    <s v="INV057"/>
    <x v="56"/>
    <x v="6"/>
    <s v="P024"/>
    <s v="File Folder"/>
    <n v="80"/>
    <n v="35"/>
    <n v="2800"/>
  </r>
  <r>
    <s v="INV058"/>
    <x v="57"/>
    <x v="7"/>
    <s v="P009"/>
    <s v="Printer Paper (500 Sheets)"/>
    <n v="16"/>
    <n v="320"/>
    <n v="5120"/>
  </r>
  <r>
    <s v="INV059"/>
    <x v="58"/>
    <x v="8"/>
    <s v="P020"/>
    <s v="Bluetooth Speaker"/>
    <n v="4"/>
    <n v="1700"/>
    <n v="6800"/>
  </r>
  <r>
    <s v="INV060"/>
    <x v="59"/>
    <x v="9"/>
    <s v="P011"/>
    <s v="Office Chair"/>
    <n v="2"/>
    <n v="5000"/>
    <n v="10000"/>
  </r>
  <r>
    <s v="INV061"/>
    <x v="60"/>
    <x v="0"/>
    <s v="P006"/>
    <s v="Notebook A5"/>
    <n v="28"/>
    <n v="80"/>
    <n v="2240"/>
  </r>
  <r>
    <s v="INV062"/>
    <x v="61"/>
    <x v="1"/>
    <s v="P021"/>
    <s v="Whiteboard Marker"/>
    <n v="35"/>
    <n v="55"/>
    <n v="1925"/>
  </r>
  <r>
    <s v="INV063"/>
    <x v="62"/>
    <x v="2"/>
    <s v="P001"/>
    <s v="Wireless Mouse"/>
    <n v="15"/>
    <n v="650"/>
    <n v="9750"/>
  </r>
  <r>
    <s v="INV064"/>
    <x v="63"/>
    <x v="3"/>
    <s v="P017"/>
    <s v="Laptop Backpack"/>
    <n v="9"/>
    <n v="1300"/>
    <n v="11700"/>
  </r>
  <r>
    <s v="INV065"/>
    <x v="64"/>
    <x v="4"/>
    <s v="P016"/>
    <s v="Water Bottle 1L"/>
    <n v="30"/>
    <n v="220"/>
    <n v="6600"/>
  </r>
  <r>
    <s v="INV066"/>
    <x v="65"/>
    <x v="5"/>
    <s v="P023"/>
    <s v="Extension Board"/>
    <n v="18"/>
    <n v="450"/>
    <n v="8100"/>
  </r>
  <r>
    <s v="INV067"/>
    <x v="66"/>
    <x v="6"/>
    <s v="P005"/>
    <s v="HDMI Cable"/>
    <n v="24"/>
    <n v="350"/>
    <n v="8400"/>
  </r>
  <r>
    <s v="INV068"/>
    <x v="67"/>
    <x v="7"/>
    <s v="P007"/>
    <s v="Ball Pen"/>
    <n v="95"/>
    <n v="25"/>
    <n v="2375"/>
  </r>
  <r>
    <s v="INV069"/>
    <x v="68"/>
    <x v="8"/>
    <s v="P014"/>
    <s v="LED Desk Lamp"/>
    <n v="10"/>
    <n v="950"/>
    <n v="9500"/>
  </r>
  <r>
    <s v="INV070"/>
    <x v="69"/>
    <x v="9"/>
    <s v="P022"/>
    <s v="Calculator"/>
    <n v="11"/>
    <n v="550"/>
    <n v="6050"/>
  </r>
  <r>
    <s v="INV071"/>
    <x v="70"/>
    <x v="0"/>
    <s v="P003"/>
    <s v="USB Flash Drive 32GB"/>
    <n v="20"/>
    <n v="550"/>
    <n v="11000"/>
  </r>
  <r>
    <s v="INV072"/>
    <x v="71"/>
    <x v="1"/>
    <s v="P024"/>
    <s v="File Folder"/>
    <n v="85"/>
    <n v="35"/>
    <n v="2975"/>
  </r>
  <r>
    <s v="INV073"/>
    <x v="72"/>
    <x v="2"/>
    <s v="P019"/>
    <s v="Power Bank 10000mAh"/>
    <n v="6"/>
    <n v="1450"/>
    <n v="8700"/>
  </r>
  <r>
    <s v="INV074"/>
    <x v="73"/>
    <x v="3"/>
    <s v="P010"/>
    <s v="Highlighter Set"/>
    <n v="12"/>
    <n v="160"/>
    <n v="1920"/>
  </r>
  <r>
    <s v="INV075"/>
    <x v="74"/>
    <x v="4"/>
    <s v="P012"/>
    <s v="Study Table"/>
    <n v="3"/>
    <n v="6200"/>
    <n v="18600"/>
  </r>
  <r>
    <s v="INV076"/>
    <x v="75"/>
    <x v="5"/>
    <s v="P018"/>
    <s v="Mobile Stand"/>
    <n v="25"/>
    <n v="180"/>
    <n v="4500"/>
  </r>
  <r>
    <s v="INV077"/>
    <x v="76"/>
    <x v="6"/>
    <s v="P020"/>
    <s v="Bluetooth Speaker"/>
    <n v="7"/>
    <n v="1700"/>
    <n v="11900"/>
  </r>
  <r>
    <s v="INV078"/>
    <x v="77"/>
    <x v="7"/>
    <s v="P008"/>
    <s v="Stapler"/>
    <n v="10"/>
    <n v="180"/>
    <n v="1800"/>
  </r>
  <r>
    <s v="INV079"/>
    <x v="78"/>
    <x v="8"/>
    <s v="P001"/>
    <s v="Wireless Mouse"/>
    <n v="18"/>
    <n v="650"/>
    <n v="11700"/>
  </r>
  <r>
    <s v="INV080"/>
    <x v="79"/>
    <x v="9"/>
    <s v="P021"/>
    <s v="Whiteboard Marker"/>
    <n v="45"/>
    <n v="55"/>
    <n v="2475"/>
  </r>
  <r>
    <s v="INV081"/>
    <x v="80"/>
    <x v="0"/>
    <s v="P009"/>
    <s v="Printer Paper (500 Sheets)"/>
    <n v="20"/>
    <n v="320"/>
    <n v="6400"/>
  </r>
  <r>
    <s v="INV082"/>
    <x v="81"/>
    <x v="1"/>
    <s v="P006"/>
    <s v="Notebook A5"/>
    <n v="30"/>
    <n v="80"/>
    <n v="2400"/>
  </r>
  <r>
    <s v="INV083"/>
    <x v="82"/>
    <x v="2"/>
    <s v="P017"/>
    <s v="Laptop Backpack"/>
    <n v="11"/>
    <n v="1300"/>
    <n v="14300"/>
  </r>
  <r>
    <s v="INV084"/>
    <x v="83"/>
    <x v="3"/>
    <s v="P004"/>
    <s v="External Hard Drive 1TB"/>
    <n v="2"/>
    <n v="4200"/>
    <n v="8400"/>
  </r>
  <r>
    <s v="INV085"/>
    <x v="84"/>
    <x v="4"/>
    <s v="P013"/>
    <s v="Bookshelf"/>
    <n v="2"/>
    <n v="4200"/>
    <n v="8400"/>
  </r>
  <r>
    <s v="INV086"/>
    <x v="85"/>
    <x v="5"/>
    <s v="P014"/>
    <s v="LED Desk Lamp"/>
    <n v="8"/>
    <n v="950"/>
    <n v="7600"/>
  </r>
  <r>
    <s v="INV087"/>
    <x v="86"/>
    <x v="6"/>
    <s v="P025"/>
    <s v="Desk Organizer"/>
    <n v="20"/>
    <n v="380"/>
    <n v="7600"/>
  </r>
  <r>
    <s v="INV088"/>
    <x v="87"/>
    <x v="7"/>
    <s v="P023"/>
    <s v="Extension Board"/>
    <n v="15"/>
    <n v="450"/>
    <n v="6750"/>
  </r>
  <r>
    <s v="INV089"/>
    <x v="88"/>
    <x v="8"/>
    <s v="P007"/>
    <s v="Ball Pen"/>
    <n v="100"/>
    <n v="25"/>
    <n v="2500"/>
  </r>
  <r>
    <s v="INV090"/>
    <x v="89"/>
    <x v="9"/>
    <s v="P005"/>
    <s v="HDMI Cable"/>
    <n v="22"/>
    <n v="350"/>
    <n v="7700"/>
  </r>
  <r>
    <s v="INV091"/>
    <x v="90"/>
    <x v="0"/>
    <s v="P011"/>
    <s v="Office Chair"/>
    <n v="2"/>
    <n v="5000"/>
    <n v="10000"/>
  </r>
  <r>
    <s v="INV092"/>
    <x v="91"/>
    <x v="1"/>
    <s v="P020"/>
    <s v="Bluetooth Speaker"/>
    <n v="6"/>
    <n v="1700"/>
    <n v="10200"/>
  </r>
  <r>
    <s v="INV093"/>
    <x v="92"/>
    <x v="2"/>
    <s v="P018"/>
    <s v="Mobile Stand"/>
    <n v="20"/>
    <n v="180"/>
    <n v="3600"/>
  </r>
  <r>
    <s v="INV094"/>
    <x v="93"/>
    <x v="3"/>
    <s v="P024"/>
    <s v="File Folder"/>
    <n v="75"/>
    <n v="35"/>
    <n v="2625"/>
  </r>
  <r>
    <s v="INV095"/>
    <x v="94"/>
    <x v="4"/>
    <s v="P002"/>
    <s v="Wireless Keyboard"/>
    <n v="7"/>
    <n v="1300"/>
    <n v="9100"/>
  </r>
  <r>
    <s v="INV096"/>
    <x v="95"/>
    <x v="5"/>
    <s v="P003"/>
    <s v="USB Flash Drive 32GB"/>
    <n v="22"/>
    <n v="550"/>
    <n v="12100"/>
  </r>
  <r>
    <s v="INV097"/>
    <x v="96"/>
    <x v="6"/>
    <s v="P016"/>
    <s v="Water Bottle 1L"/>
    <n v="35"/>
    <n v="220"/>
    <n v="7700"/>
  </r>
  <r>
    <s v="INV098"/>
    <x v="97"/>
    <x v="7"/>
    <s v="P021"/>
    <s v="Whiteboard Marker"/>
    <n v="50"/>
    <n v="55"/>
    <n v="2750"/>
  </r>
  <r>
    <s v="INV099"/>
    <x v="98"/>
    <x v="8"/>
    <s v="P009"/>
    <s v="Printer Paper (500 Sheets)"/>
    <n v="18"/>
    <n v="320"/>
    <n v="5760"/>
  </r>
  <r>
    <s v="INV100"/>
    <x v="99"/>
    <x v="9"/>
    <s v="P022"/>
    <s v="Calculator"/>
    <n v="10"/>
    <n v="550"/>
    <n v="5500"/>
  </r>
  <r>
    <s v="INV101"/>
    <x v="100"/>
    <x v="0"/>
    <s v="P001"/>
    <s v="Wireless Mouse"/>
    <n v="15"/>
    <n v="650"/>
    <n v="9750"/>
  </r>
  <r>
    <s v="INV102"/>
    <x v="101"/>
    <x v="1"/>
    <s v="P017"/>
    <s v="Laptop Backpack"/>
    <n v="8"/>
    <n v="1300"/>
    <n v="10400"/>
  </r>
  <r>
    <s v="INV103"/>
    <x v="102"/>
    <x v="2"/>
    <s v="P019"/>
    <s v="Power Bank 10000mAh"/>
    <n v="5"/>
    <n v="1450"/>
    <n v="7250"/>
  </r>
  <r>
    <s v="INV104"/>
    <x v="103"/>
    <x v="3"/>
    <s v="P010"/>
    <s v="Highlighter Set"/>
    <n v="15"/>
    <n v="160"/>
    <n v="2400"/>
  </r>
  <r>
    <s v="INV105"/>
    <x v="104"/>
    <x v="4"/>
    <s v="P006"/>
    <s v="Notebook A5"/>
    <n v="40"/>
    <n v="80"/>
    <n v="3200"/>
  </r>
  <r>
    <s v="INV106"/>
    <x v="105"/>
    <x v="5"/>
    <s v="P007"/>
    <s v="Ball Pen"/>
    <n v="80"/>
    <n v="25"/>
    <n v="2000"/>
  </r>
  <r>
    <s v="INV107"/>
    <x v="106"/>
    <x v="6"/>
    <s v="P005"/>
    <s v="HDMI Cable"/>
    <n v="18"/>
    <n v="350"/>
    <n v="6300"/>
  </r>
  <r>
    <s v="INV108"/>
    <x v="107"/>
    <x v="7"/>
    <s v="P024"/>
    <s v="File Folder"/>
    <n v="90"/>
    <n v="35"/>
    <n v="3150"/>
  </r>
  <r>
    <s v="INV109"/>
    <x v="108"/>
    <x v="8"/>
    <s v="P023"/>
    <s v="Extension Board"/>
    <n v="20"/>
    <n v="450"/>
    <n v="9000"/>
  </r>
  <r>
    <s v="INV110"/>
    <x v="109"/>
    <x v="9"/>
    <s v="P016"/>
    <s v="Water Bottle 1L"/>
    <n v="25"/>
    <n v="220"/>
    <n v="5500"/>
  </r>
  <r>
    <s v="INV111"/>
    <x v="110"/>
    <x v="0"/>
    <s v="P003"/>
    <s v="USB Flash Drive 32GB"/>
    <n v="16"/>
    <n v="550"/>
    <n v="8800"/>
  </r>
  <r>
    <s v="INV112"/>
    <x v="111"/>
    <x v="1"/>
    <s v="P020"/>
    <s v="Bluetooth Speaker"/>
    <n v="5"/>
    <n v="1700"/>
    <n v="8500"/>
  </r>
  <r>
    <s v="INV113"/>
    <x v="112"/>
    <x v="2"/>
    <s v="P014"/>
    <s v="LED Desk Lamp"/>
    <n v="9"/>
    <n v="950"/>
    <n v="8550"/>
  </r>
  <r>
    <s v="INV114"/>
    <x v="113"/>
    <x v="3"/>
    <s v="P008"/>
    <s v="Stapler"/>
    <n v="11"/>
    <n v="180"/>
    <n v="1980"/>
  </r>
  <r>
    <s v="INV115"/>
    <x v="114"/>
    <x v="4"/>
    <s v="P021"/>
    <s v="Whiteboard Marker"/>
    <n v="42"/>
    <n v="55"/>
    <n v="2310"/>
  </r>
  <r>
    <s v="INV116"/>
    <x v="115"/>
    <x v="5"/>
    <s v="P025"/>
    <s v="Desk Organizer"/>
    <n v="18"/>
    <n v="380"/>
    <n v="6840"/>
  </r>
  <r>
    <s v="INV117"/>
    <x v="116"/>
    <x v="6"/>
    <s v="P022"/>
    <s v="Calculator"/>
    <n v="10"/>
    <n v="550"/>
    <n v="5500"/>
  </r>
  <r>
    <s v="INV118"/>
    <x v="117"/>
    <x v="7"/>
    <s v="P009"/>
    <s v="Printer Paper (500 Sheets)"/>
    <n v="17"/>
    <n v="320"/>
    <n v="5440"/>
  </r>
  <r>
    <s v="INV119"/>
    <x v="118"/>
    <x v="8"/>
    <s v="P001"/>
    <s v="Wireless Mouse"/>
    <n v="14"/>
    <n v="650"/>
    <n v="9100"/>
  </r>
  <r>
    <s v="INV120"/>
    <x v="119"/>
    <x v="9"/>
    <s v="P017"/>
    <s v="Laptop Backpack"/>
    <n v="9"/>
    <n v="1300"/>
    <n v="11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A9D3BD-5AB2-4FC4-9417-33646452A822}" name="PivotTable1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5:G21" firstHeaderRow="1" firstDataRow="1" firstDataCol="1"/>
  <pivotFields count="10">
    <pivotField showAll="0"/>
    <pivotField axis="axisRow" numFmtId="15"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11">
        <item x="0"/>
        <item x="1"/>
        <item x="2"/>
        <item x="3"/>
        <item x="4"/>
        <item x="5"/>
        <item x="6"/>
        <item x="7"/>
        <item x="8"/>
        <item x="9"/>
        <item t="default"/>
      </items>
    </pivotField>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1"/>
  </rowFields>
  <rowItems count="6">
    <i>
      <x v="1"/>
    </i>
    <i>
      <x v="2"/>
    </i>
    <i>
      <x v="3"/>
    </i>
    <i>
      <x v="4"/>
    </i>
    <i>
      <x v="5"/>
    </i>
    <i t="grand">
      <x/>
    </i>
  </rowItems>
  <colItems count="1">
    <i/>
  </colItems>
  <dataFields count="1">
    <dataField name="Sum of Total Sale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452332-125C-4D12-87ED-094000648DF3}"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B20" firstHeaderRow="1" firstDataRow="1" firstDataCol="1"/>
  <pivotFields count="10">
    <pivotField showAll="0"/>
    <pivotField axis="axisRow" numFmtId="15"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0">
        <item x="4"/>
        <item x="3"/>
        <item x="7"/>
        <item x="2"/>
        <item x="1"/>
        <item x="5"/>
        <item x="0"/>
        <item x="6"/>
        <item x="8"/>
        <item t="default"/>
      </items>
    </pivotField>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1"/>
  </rowFields>
  <rowItems count="5">
    <i>
      <x v="1"/>
    </i>
    <i>
      <x v="2"/>
    </i>
    <i>
      <x v="3"/>
    </i>
    <i>
      <x v="4"/>
    </i>
    <i t="grand">
      <x/>
    </i>
  </rowItems>
  <colItems count="1">
    <i/>
  </colItems>
  <dataFields count="1">
    <dataField name="Sum of Total Cost"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36054E-6852-4F53-8ED7-BA07CB3CF80B}"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2:G13" firstHeaderRow="1" firstDataRow="1" firstDataCol="1"/>
  <pivotFields count="11">
    <pivotField showAll="0"/>
    <pivotField axis="axisRow" showAll="0" measureFilter="1" sortType="descending">
      <items count="26">
        <item x="6"/>
        <item x="19"/>
        <item x="12"/>
        <item x="21"/>
        <item x="24"/>
        <item x="22"/>
        <item x="3"/>
        <item x="23"/>
        <item x="4"/>
        <item x="9"/>
        <item x="16"/>
        <item x="13"/>
        <item x="17"/>
        <item x="5"/>
        <item x="10"/>
        <item x="18"/>
        <item x="8"/>
        <item x="7"/>
        <item x="14"/>
        <item x="11"/>
        <item x="2"/>
        <item x="15"/>
        <item x="20"/>
        <item x="1"/>
        <item x="0"/>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pivotField showAll="0"/>
    <pivotField showAll="0"/>
    <pivotField showAll="0"/>
    <pivotField showAll="0"/>
    <pivotField showAll="0"/>
    <pivotField dataField="1" showAll="0"/>
    <pivotField showAll="0"/>
  </pivotFields>
  <rowFields count="1">
    <field x="1"/>
  </rowFields>
  <rowItems count="11">
    <i>
      <x v="6"/>
    </i>
    <i>
      <x v="18"/>
    </i>
    <i>
      <x v="14"/>
    </i>
    <i>
      <x v="19"/>
    </i>
    <i>
      <x v="23"/>
    </i>
    <i>
      <x v="20"/>
    </i>
    <i>
      <x v="1"/>
    </i>
    <i>
      <x v="24"/>
    </i>
    <i>
      <x v="15"/>
    </i>
    <i>
      <x v="2"/>
    </i>
    <i t="grand">
      <x/>
    </i>
  </rowItems>
  <colItems count="1">
    <i/>
  </colItems>
  <dataFields count="1">
    <dataField name="Sum of Inventory Value"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405BE5-B248-40C2-BC87-7899CA763D9A}"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B7" firstHeaderRow="1" firstDataRow="1" firstDataCol="1"/>
  <pivotFields count="11">
    <pivotField showAll="0"/>
    <pivotField showAll="0"/>
    <pivotField axis="axisRow" showAll="0">
      <items count="5">
        <item x="3"/>
        <item x="0"/>
        <item x="2"/>
        <item x="1"/>
        <item t="default"/>
      </items>
    </pivotField>
    <pivotField showAll="0"/>
    <pivotField showAll="0"/>
    <pivotField showAll="0"/>
    <pivotField showAll="0"/>
    <pivotField showAll="0"/>
    <pivotField dataField="1" showAll="0"/>
    <pivotField showAll="0"/>
    <pivotField showAll="0"/>
  </pivotFields>
  <rowFields count="1">
    <field x="2"/>
  </rowFields>
  <rowItems count="5">
    <i>
      <x/>
    </i>
    <i>
      <x v="1"/>
    </i>
    <i>
      <x v="2"/>
    </i>
    <i>
      <x v="3"/>
    </i>
    <i t="grand">
      <x/>
    </i>
  </rowItems>
  <colItems count="1">
    <i/>
  </colItems>
  <dataFields count="1">
    <dataField name="Sum of Current Stock"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D69512F-93DB-4282-B932-B59DA8F66ED2}" sourceName="Category">
  <pivotTables>
    <pivotTable tabId="9" name="PivotTable8"/>
    <pivotTable tabId="9" name="PivotTable9"/>
  </pivotTables>
  <data>
    <tabular pivotCacheId="185789036">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DC2685AF-1CE9-4233-9241-81DC3763EB31}" sourceName="Supplier">
  <pivotTables>
    <pivotTable tabId="9" name="PivotTable10"/>
  </pivotTables>
  <data>
    <tabular pivotCacheId="1371571675">
      <items count="9">
        <i x="4" s="1"/>
        <i x="3" s="1"/>
        <i x="7" s="1"/>
        <i x="2" s="1"/>
        <i x="1" s="1"/>
        <i x="5" s="1"/>
        <i x="0" s="1"/>
        <i x="6"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CABD9E86-3912-469E-8CB6-D3D20AE86503}" sourceName="Customer">
  <pivotTables>
    <pivotTable tabId="9" name="PivotTable11"/>
  </pivotTables>
  <data>
    <tabular pivotCacheId="523132617">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7C05E22-8AD4-4B3B-AA60-CAC1CCDDC91D}" cache="Slicer_Category" caption="Category" rowHeight="241300"/>
  <slicer name="Supplier" xr10:uid="{463C351B-2DF3-43E0-A216-41D0EEA72CEC}" cache="Slicer_Supplier" caption="Supplier" rowHeight="241300"/>
  <slicer name="Customer" xr10:uid="{BAD59399-D18D-44E8-9A78-7FA8F5F08BE7}" cache="Slicer_Customer" caption="Custom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0D65505-835B-48F6-ADAB-6D8604FE9F4B}" name="tblSalesValueCurrentStock" displayName="tblSalesValueCurrentStock" ref="E4:E29" totalsRowShown="0">
  <autoFilter ref="E4:E29" xr:uid="{40D65505-835B-48F6-ADAB-6D8604FE9F4B}"/>
  <tableColumns count="1">
    <tableColumn id="1" xr3:uid="{4D3E5B8C-A554-422E-BEE0-A601AC1D18E5}" name="Sales Value of Current Stock ">
      <calculatedColumnFormula>Products!F2*'Inventory Report'!I2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43FED8-560B-402F-8EAD-DB33A2C3BB57}" name="tblPurchases" displayName="tblPurchases" ref="A1:H61" totalsRowShown="0" headerRowDxfId="44" dataDxfId="43">
  <autoFilter ref="A1:H61" xr:uid="{0A43FED8-560B-402F-8EAD-DB33A2C3BB57}"/>
  <tableColumns count="8">
    <tableColumn id="1" xr3:uid="{B69A66DD-8D03-4D41-9E1F-FEF9C820BDBA}" name="PO No" dataDxfId="42"/>
    <tableColumn id="2" xr3:uid="{637CDCA2-0B20-4061-8F43-288A38FAAB2F}" name="Date" dataDxfId="41"/>
    <tableColumn id="3" xr3:uid="{A206646B-DD44-4A3B-99AF-70973702147F}" name="Supplier" dataDxfId="40"/>
    <tableColumn id="8" xr3:uid="{09C5AA2B-27BB-4CA3-90D4-35ED68879739}" name="Product ID" dataDxfId="39"/>
    <tableColumn id="4" xr3:uid="{17345A84-15E9-42BB-86E8-680D28F9DFF5}" name="Product" dataDxfId="0">
      <calculatedColumnFormula>IF(tblPurchases[[#This Row],[Product ID]]="","",_xlfn.XLOOKUP(tblPurchases[[#This Row],[Product ID]],tblProducts[Product ID],tblProducts[Product Name]))</calculatedColumnFormula>
    </tableColumn>
    <tableColumn id="5" xr3:uid="{715664C3-B9FD-4C3A-B96D-542E7FD2DE3B}" name="Qty Purchased" dataDxfId="38"/>
    <tableColumn id="6" xr3:uid="{EFEEDB7B-38BA-48E1-BB62-E5757B553150}" name="Cost Price" dataDxfId="37">
      <calculatedColumnFormula>IF(tblPurchases[[#This Row],[Product ID]] ="","",_xlfn.XLOOKUP(tblPurchases[[#This Row],[Product]],tblProducts[Product Name],tblProducts[Cost Price]))</calculatedColumnFormula>
    </tableColumn>
    <tableColumn id="7" xr3:uid="{E2222615-FF98-4B4C-9611-09CF2B598794}" name="Total Cost" dataDxfId="36">
      <calculatedColumnFormula>IF(tblPurchases[[#This Row],[Product ID]] ="","",tblPurchases[[#This Row],[Cost Price]]*tblPurchases[[#This Row],[Qty Purchased]])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EFA988-06E5-4751-B922-7D3EA81D5AD6}" name="tblSales" displayName="tblSales" ref="A1:H121" totalsRowShown="0" headerRowDxfId="35">
  <autoFilter ref="A1:H121" xr:uid="{24EFA988-06E5-4751-B922-7D3EA81D5AD6}"/>
  <tableColumns count="8">
    <tableColumn id="1" xr3:uid="{E0B80199-76B3-4541-896F-0870B9C96C26}" name="Invoice No" dataDxfId="34"/>
    <tableColumn id="2" xr3:uid="{6FF32BA5-2206-4FCA-A756-12FD1A424F6C}" name="Date" dataDxfId="33"/>
    <tableColumn id="3" xr3:uid="{F015258D-ADE7-4A3E-AEE9-0CE70D290353}" name="Customer" dataDxfId="32"/>
    <tableColumn id="4" xr3:uid="{93C0E760-FB7A-43B3-A3B4-64F91F7EF83B}" name="Product ID" dataDxfId="31"/>
    <tableColumn id="8" xr3:uid="{E58B91BE-F8C5-4194-B38C-959A716CF903}" name="Product Name" dataDxfId="1">
      <calculatedColumnFormula>IF(tblSales[[#This Row],[Product ID]]="","",(_xlfn.XLOOKUP(tblSales[[#This Row],[Product ID]],tblProducts[Product ID],tblProducts[Product Name])))</calculatedColumnFormula>
    </tableColumn>
    <tableColumn id="5" xr3:uid="{769B8C9F-6292-43D9-9826-13776647DDED}" name="Qty Sold" dataDxfId="30"/>
    <tableColumn id="6" xr3:uid="{FE7E2BE7-BA6C-499B-BE85-9D4C9C30693A}" name="Selling Price" dataDxfId="29">
      <calculatedColumnFormula>IF(tblSales[[#This Row],[Product ID]]="","",_xlfn.XLOOKUP(tblSales[[#This Row],[Product ID]],tblProducts[Product ID],tblProducts[Selling Price]))</calculatedColumnFormula>
    </tableColumn>
    <tableColumn id="7" xr3:uid="{5C69477C-4443-46C1-8FBE-5BE268D3BCEC}" name="Total Sales">
      <calculatedColumnFormula>IF(tblSales[[#This Row],[Product ID]]="","",tblSales[[#This Row],[Selling Price]]*tblSales[[#This Row],[Qty Sold]])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81C8F51-9B73-4D51-9B96-D4EC37080D98}" name="tblInventoryReport" displayName="tblInventoryReport" ref="A1:K26" totalsRowShown="0" headerRowDxfId="52">
  <autoFilter ref="A1:K26" xr:uid="{D81C8F51-9B73-4D51-9B96-D4EC37080D98}"/>
  <tableColumns count="11">
    <tableColumn id="1" xr3:uid="{3CF19BD4-7E91-4828-8748-5C374299F522}" name="Product ID" dataDxfId="51">
      <calculatedColumnFormula>tblProducts[[#This Row],[Product ID]]</calculatedColumnFormula>
    </tableColumn>
    <tableColumn id="2" xr3:uid="{23FF48F1-F461-47E0-9E90-CCDE96B56029}" name="Product Name">
      <calculatedColumnFormula>tblProducts[[#This Row],[Product Name]]</calculatedColumnFormula>
    </tableColumn>
    <tableColumn id="3" xr3:uid="{DD237710-9096-46BE-8EEF-F405470E5FD7}" name="Category" dataDxfId="50">
      <calculatedColumnFormula>_xlfn.XLOOKUP(tblInventoryReport[[#This Row],[Product ID]],tblProducts[Product ID],tblProducts[Category])</calculatedColumnFormula>
    </tableColumn>
    <tableColumn id="4" xr3:uid="{91996B71-B674-49D0-8C62-3131FB840885}" name="Opening Stock" dataDxfId="49">
      <calculatedColumnFormula>_xlfn.XLOOKUP(tblInventoryReport[[#This Row],[Product ID]],tblProducts[Product ID],tblProducts[Opening Stock])</calculatedColumnFormula>
    </tableColumn>
    <tableColumn id="5" xr3:uid="{9C1B38CF-853E-4610-8B7D-667780916380}" name="Purchased Qty" dataDxfId="48">
      <calculatedColumnFormula>SUMIFS(tblPurchases[Qty Purchased],tblPurchases[Product ID],tblInventoryReport[[#This Row],[Product ID]])</calculatedColumnFormula>
    </tableColumn>
    <tableColumn id="6" xr3:uid="{DAB4D3DC-9726-42D8-9436-3398F0469BCD}" name="Sold Qty" dataDxfId="47">
      <calculatedColumnFormula>SUMIFS(tblSales[Qty Sold],tblSales[Product ID],tblInventoryReport[[#This Row],[Product ID]])</calculatedColumnFormula>
    </tableColumn>
    <tableColumn id="11" xr3:uid="{7EC2F16E-7224-4FAA-8BA7-9B606F7E742C}" name="Cost Value" dataDxfId="4">
      <calculatedColumnFormula>_xlfn.XLOOKUP(tblInventoryReport[[#This Row],[Product ID]],tblProducts[Product ID],tblProducts[Cost Price])</calculatedColumnFormula>
    </tableColumn>
    <tableColumn id="10" xr3:uid="{FFA2930F-3036-46B9-908D-46ECEBC4DA78}" name="Sales Value" dataDxfId="3">
      <calculatedColumnFormula>_xlfn.XLOOKUP(tblInventoryReport[[#This Row],[Product ID]],tblProducts[Product ID],tblProducts[Selling Price])</calculatedColumnFormula>
    </tableColumn>
    <tableColumn id="7" xr3:uid="{22E70325-B4E4-4482-8134-99D13E025109}" name="Current Stock" dataDxfId="46">
      <calculatedColumnFormula>tblInventoryReport[[#This Row],[Opening Stock]]+tblInventoryReport[[#This Row],[Purchased Qty]]-tblInventoryReport[[#This Row],[Sold Qty]]</calculatedColumnFormula>
    </tableColumn>
    <tableColumn id="8" xr3:uid="{1D6B5EB7-8DDD-4938-B725-87B8BFF30942}" name="Inventory Value" dataDxfId="2">
      <calculatedColumnFormula>tblInventoryReport[[#This Row],[Current Stock]]*tblInventoryReport[[#This Row],[Cost Value]]</calculatedColumnFormula>
    </tableColumn>
    <tableColumn id="9" xr3:uid="{28EFD748-41C2-4721-9EDA-6B1080EB426C}" name="Stock Status" dataDxfId="45">
      <calculatedColumnFormula>IF(tblInventoryReport[[#This Row],[Current Stock]] = 0,"Out of Stock",IF(tblInventoryReport[[#This Row],[Current Stock]]&lt;=_xlfn.XLOOKUP(tblInventoryReport[[#This Row],[Product ID]],tblProducts[Product ID],tblProducts[Reorder Level]),"Low Stock", "In Stock"))</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219911-9387-4F68-BFC1-43395BB8BA23}" name="tblProducts" displayName="tblProducts" ref="A1:H26" totalsRowShown="0" headerRowDxfId="28" dataDxfId="27">
  <autoFilter ref="A1:H26" xr:uid="{D3219911-9387-4F68-BFC1-43395BB8BA23}"/>
  <tableColumns count="8">
    <tableColumn id="1" xr3:uid="{4A48B3CE-7B54-4739-862F-327464A9DD23}" name="Product ID" dataDxfId="26"/>
    <tableColumn id="2" xr3:uid="{2B5CCF36-C875-44F2-81A5-E2D19C5971A4}" name="Product Name" dataDxfId="25"/>
    <tableColumn id="3" xr3:uid="{60FEAF75-2C93-4BF8-A6F5-DAAFBC0E50CB}" name="Category" dataDxfId="24"/>
    <tableColumn id="4" xr3:uid="{9851A4BD-AC1D-419E-BAF6-F8CEEF5DCF7C}" name="Unit" dataDxfId="23"/>
    <tableColumn id="5" xr3:uid="{E21E0374-194C-44B3-A5F1-10673839117F}" name="Cost Price" dataDxfId="22"/>
    <tableColumn id="6" xr3:uid="{4301F5EA-E092-44EA-B7EF-93C2B8A2E7E8}" name="Selling Price" dataDxfId="21"/>
    <tableColumn id="7" xr3:uid="{E533ED27-E6BC-4F20-B7AD-53C2D66C079F}" name="Reorder Level" dataDxfId="20"/>
    <tableColumn id="8" xr3:uid="{3977C06A-21A1-4736-80A2-557A42BB63A0}" name="Opening Stock" dataDxfId="1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FCA454-7049-49FA-BE3A-58C797FED082}" name="tblSuppliers" displayName="tblSuppliers" ref="A1:G13" totalsRowShown="0" headerRowDxfId="18" dataDxfId="17">
  <autoFilter ref="A1:G13" xr:uid="{48FCA454-7049-49FA-BE3A-58C797FED082}"/>
  <tableColumns count="7">
    <tableColumn id="1" xr3:uid="{0B292DED-E5F8-4B56-B8F3-779CC0951F46}" name="Supplier ID" dataDxfId="16"/>
    <tableColumn id="2" xr3:uid="{9CD84745-F96A-476B-9E1A-3E0C45806E9F}" name="Supplier Name" dataDxfId="15"/>
    <tableColumn id="3" xr3:uid="{38833529-71E8-42D2-88F2-958DB73FDFA3}" name="Contact Person" dataDxfId="14"/>
    <tableColumn id="4" xr3:uid="{BCF74E28-2FDE-4642-9E8B-92BB0BB9135C}" name="Phone" dataDxfId="13"/>
    <tableColumn id="5" xr3:uid="{9A719A4B-53B1-4206-8C99-89DAF76B34B2}" name="Email" dataDxfId="12"/>
    <tableColumn id="6" xr3:uid="{14645D55-83D9-4F65-9B9D-868CB085C8F1}" name="GSTIN" dataDxfId="11"/>
    <tableColumn id="7" xr3:uid="{DBAA7573-4446-47A6-B205-CDD332544435}" name="City" dataDxfId="1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2B05289-D903-44D5-9E9A-B00F4F727E71}" name="tblCustomers" displayName="tblCustomers" ref="A1:C11" totalsRowShown="0" headerRowDxfId="9" dataDxfId="8">
  <autoFilter ref="A1:C11" xr:uid="{32B05289-D903-44D5-9E9A-B00F4F727E71}"/>
  <tableColumns count="3">
    <tableColumn id="1" xr3:uid="{B1C3B5ED-9F5F-4224-B47C-37FC0D5563BC}" name="Customer ID" dataDxfId="7"/>
    <tableColumn id="2" xr3:uid="{679671D4-A0B6-4E3D-B3A2-D227196616A2}" name="Customer Name" dataDxfId="6"/>
    <tableColumn id="3" xr3:uid="{4E0E41EE-B8C6-4243-B81F-06E5CBF3A41E}" name="City"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mailto:orders@urbanfurniture.in" TargetMode="External"/><Relationship Id="rId13" Type="http://schemas.openxmlformats.org/officeDocument/2006/relationships/table" Target="../tables/table6.xml"/><Relationship Id="rId3" Type="http://schemas.openxmlformats.org/officeDocument/2006/relationships/hyperlink" Target="mailto:sales@metrotraders.in" TargetMode="External"/><Relationship Id="rId7" Type="http://schemas.openxmlformats.org/officeDocument/2006/relationships/hyperlink" Target="mailto:info@smarttech.in" TargetMode="External"/><Relationship Id="rId12" Type="http://schemas.openxmlformats.org/officeDocument/2006/relationships/hyperlink" Target="mailto:hello@zenithsupplies.in" TargetMode="External"/><Relationship Id="rId2" Type="http://schemas.openxmlformats.org/officeDocument/2006/relationships/hyperlink" Target="mailto:info@primeoffice.in" TargetMode="External"/><Relationship Id="rId1" Type="http://schemas.openxmlformats.org/officeDocument/2006/relationships/hyperlink" Target="mailto:sales@techsource.in" TargetMode="External"/><Relationship Id="rId6" Type="http://schemas.openxmlformats.org/officeDocument/2006/relationships/hyperlink" Target="mailto:sales@officeworld.in" TargetMode="External"/><Relationship Id="rId11" Type="http://schemas.openxmlformats.org/officeDocument/2006/relationships/hyperlink" Target="mailto:support@galaxywholesale.in" TargetMode="External"/><Relationship Id="rId5" Type="http://schemas.openxmlformats.org/officeDocument/2006/relationships/hyperlink" Target="mailto:support@brightstationers.in" TargetMode="External"/><Relationship Id="rId10" Type="http://schemas.openxmlformats.org/officeDocument/2006/relationships/hyperlink" Target="mailto:sales@nationalsupply.in" TargetMode="External"/><Relationship Id="rId4" Type="http://schemas.openxmlformats.org/officeDocument/2006/relationships/hyperlink" Target="mailto:contact@eliteelectronics.in" TargetMode="External"/><Relationship Id="rId9" Type="http://schemas.openxmlformats.org/officeDocument/2006/relationships/hyperlink" Target="mailto:contact@alphaoffice.in"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36A8C-65BE-47DA-906F-7D131003B510}">
  <sheetPr>
    <pageSetUpPr fitToPage="1"/>
  </sheetPr>
  <dimension ref="B1:P14"/>
  <sheetViews>
    <sheetView showGridLines="0" showRowColHeaders="0" tabSelected="1" zoomScale="50" zoomScaleNormal="50" workbookViewId="0">
      <selection activeCell="J60" sqref="J60"/>
    </sheetView>
  </sheetViews>
  <sheetFormatPr defaultRowHeight="14.5" x14ac:dyDescent="0.35"/>
  <cols>
    <col min="1" max="1" width="3.6328125" customWidth="1"/>
    <col min="2" max="16" width="15.6328125" customWidth="1"/>
  </cols>
  <sheetData>
    <row r="1" spans="2:16" ht="16" customHeight="1" x14ac:dyDescent="0.45">
      <c r="O1" s="41" t="s">
        <v>263</v>
      </c>
      <c r="P1" s="42">
        <v>46225</v>
      </c>
    </row>
    <row r="2" spans="2:16" ht="42.5" customHeight="1" x14ac:dyDescent="0.35">
      <c r="B2" s="19" t="s">
        <v>264</v>
      </c>
      <c r="C2" s="19"/>
      <c r="D2" s="19"/>
      <c r="E2" s="19"/>
      <c r="F2" s="19"/>
      <c r="G2" s="19"/>
      <c r="H2" s="19"/>
      <c r="I2" s="19"/>
      <c r="J2" s="19"/>
      <c r="K2" s="19"/>
      <c r="L2" s="19"/>
      <c r="M2" s="19"/>
      <c r="N2" s="19"/>
      <c r="O2" s="19"/>
      <c r="P2" s="19"/>
    </row>
    <row r="5" spans="2:16" ht="21" x14ac:dyDescent="0.55000000000000004">
      <c r="B5" s="8" t="s">
        <v>259</v>
      </c>
      <c r="C5" s="9"/>
      <c r="D5" s="10"/>
      <c r="F5" s="8" t="s">
        <v>267</v>
      </c>
      <c r="G5" s="9"/>
      <c r="H5" s="10"/>
      <c r="J5" s="8" t="s">
        <v>268</v>
      </c>
      <c r="K5" s="9"/>
      <c r="L5" s="10"/>
      <c r="N5" s="8" t="s">
        <v>261</v>
      </c>
      <c r="O5" s="9"/>
      <c r="P5" s="10"/>
    </row>
    <row r="6" spans="2:16" x14ac:dyDescent="0.35">
      <c r="B6" s="20">
        <f>Calculations!B3</f>
        <v>25</v>
      </c>
      <c r="C6" s="21"/>
      <c r="D6" s="22"/>
      <c r="F6" s="11">
        <f>Calculations!B4</f>
        <v>1297755</v>
      </c>
      <c r="G6" s="12"/>
      <c r="H6" s="13"/>
      <c r="J6" s="26">
        <f>Calculations!B5</f>
        <v>3643</v>
      </c>
      <c r="K6" s="27"/>
      <c r="L6" s="28"/>
      <c r="N6" s="20">
        <f>Calculations!B6</f>
        <v>0</v>
      </c>
      <c r="O6" s="21"/>
      <c r="P6" s="22"/>
    </row>
    <row r="7" spans="2:16" x14ac:dyDescent="0.35">
      <c r="B7" s="20"/>
      <c r="C7" s="21"/>
      <c r="D7" s="22"/>
      <c r="F7" s="14"/>
      <c r="G7" s="12"/>
      <c r="H7" s="13"/>
      <c r="J7" s="26"/>
      <c r="K7" s="27"/>
      <c r="L7" s="28"/>
      <c r="N7" s="20"/>
      <c r="O7" s="21"/>
      <c r="P7" s="22"/>
    </row>
    <row r="8" spans="2:16" x14ac:dyDescent="0.35">
      <c r="B8" s="23"/>
      <c r="C8" s="24"/>
      <c r="D8" s="25"/>
      <c r="F8" s="15"/>
      <c r="G8" s="16"/>
      <c r="H8" s="17"/>
      <c r="J8" s="29"/>
      <c r="K8" s="30"/>
      <c r="L8" s="31"/>
      <c r="N8" s="23"/>
      <c r="O8" s="24"/>
      <c r="P8" s="25"/>
    </row>
    <row r="11" spans="2:16" ht="21" x14ac:dyDescent="0.55000000000000004">
      <c r="B11" s="8" t="s">
        <v>262</v>
      </c>
      <c r="C11" s="9"/>
      <c r="D11" s="10"/>
      <c r="E11" s="18"/>
      <c r="F11" s="8" t="s">
        <v>260</v>
      </c>
      <c r="G11" s="9"/>
      <c r="H11" s="10"/>
      <c r="I11" s="18"/>
      <c r="J11" s="8" t="s">
        <v>266</v>
      </c>
      <c r="K11" s="9"/>
      <c r="L11" s="10"/>
      <c r="M11" s="18"/>
      <c r="N11" s="8" t="s">
        <v>265</v>
      </c>
      <c r="O11" s="9"/>
      <c r="P11" s="10"/>
    </row>
    <row r="12" spans="2:16" ht="14.5" customHeight="1" x14ac:dyDescent="0.35">
      <c r="B12" s="20">
        <f>Calculations!B7</f>
        <v>0</v>
      </c>
      <c r="C12" s="21"/>
      <c r="D12" s="22"/>
      <c r="F12" s="32">
        <f>Calculations!B8</f>
        <v>903800</v>
      </c>
      <c r="G12" s="33"/>
      <c r="H12" s="34"/>
      <c r="I12" s="7"/>
      <c r="J12" s="32">
        <f>Calculations!B9</f>
        <v>866550</v>
      </c>
      <c r="K12" s="33"/>
      <c r="L12" s="34"/>
      <c r="M12" s="7"/>
      <c r="N12" s="32">
        <f>Calculations!B10</f>
        <v>646095</v>
      </c>
      <c r="O12" s="33"/>
      <c r="P12" s="34"/>
    </row>
    <row r="13" spans="2:16" ht="14.5" customHeight="1" x14ac:dyDescent="0.35">
      <c r="B13" s="20"/>
      <c r="C13" s="21"/>
      <c r="D13" s="22"/>
      <c r="F13" s="32"/>
      <c r="G13" s="33"/>
      <c r="H13" s="34"/>
      <c r="I13" s="7"/>
      <c r="J13" s="32"/>
      <c r="K13" s="33"/>
      <c r="L13" s="34"/>
      <c r="M13" s="7"/>
      <c r="N13" s="32"/>
      <c r="O13" s="33"/>
      <c r="P13" s="34"/>
    </row>
    <row r="14" spans="2:16" ht="14.5" customHeight="1" x14ac:dyDescent="0.35">
      <c r="B14" s="23"/>
      <c r="C14" s="24"/>
      <c r="D14" s="25"/>
      <c r="F14" s="35"/>
      <c r="G14" s="36"/>
      <c r="H14" s="37"/>
      <c r="I14" s="7"/>
      <c r="J14" s="35"/>
      <c r="K14" s="36"/>
      <c r="L14" s="37"/>
      <c r="M14" s="7"/>
      <c r="N14" s="35"/>
      <c r="O14" s="36"/>
      <c r="P14" s="37"/>
    </row>
  </sheetData>
  <sheetProtection algorithmName="SHA-512" hashValue="dX6bC0WTtgow9Eikli/jfl0IjD3vhpEJ6iypUAxBl6IgeN2xgJQ9ZXlSgkwiS6IBAGXs4YGt6FxYePz+jc8KWg==" saltValue="OJe25rV6RgbmMzGKsIfKGA==" spinCount="100000" sheet="1" objects="1" scenarios="1"/>
  <mergeCells count="17">
    <mergeCell ref="B11:D11"/>
    <mergeCell ref="F11:H11"/>
    <mergeCell ref="J11:L11"/>
    <mergeCell ref="N11:P11"/>
    <mergeCell ref="B12:D14"/>
    <mergeCell ref="F12:H14"/>
    <mergeCell ref="J12:L14"/>
    <mergeCell ref="N12:P14"/>
    <mergeCell ref="B5:D5"/>
    <mergeCell ref="F5:H5"/>
    <mergeCell ref="J5:L5"/>
    <mergeCell ref="N5:P5"/>
    <mergeCell ref="B6:D8"/>
    <mergeCell ref="F6:H8"/>
    <mergeCell ref="J6:L8"/>
    <mergeCell ref="N6:P8"/>
    <mergeCell ref="B2:P2"/>
  </mergeCells>
  <printOptions horizontalCentered="1" verticalCentered="1"/>
  <pageMargins left="0.70866141732283472" right="0.70866141732283472" top="0.74803149606299213" bottom="0.74803149606299213" header="0.31496062992125984" footer="0.31496062992125984"/>
  <pageSetup scale="49"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05F15-FCC2-428F-9780-9B22B18382D2}">
  <dimension ref="A2:E29"/>
  <sheetViews>
    <sheetView workbookViewId="0">
      <selection activeCell="B8" sqref="B8"/>
    </sheetView>
  </sheetViews>
  <sheetFormatPr defaultRowHeight="14.5" x14ac:dyDescent="0.35"/>
  <cols>
    <col min="1" max="1" width="24.81640625" bestFit="1" customWidth="1"/>
    <col min="2" max="2" width="18.1796875" bestFit="1" customWidth="1"/>
    <col min="5" max="5" width="27.26953125" bestFit="1" customWidth="1"/>
  </cols>
  <sheetData>
    <row r="2" spans="1:5" x14ac:dyDescent="0.35">
      <c r="A2" s="1" t="s">
        <v>243</v>
      </c>
      <c r="B2" s="1" t="s">
        <v>244</v>
      </c>
    </row>
    <row r="3" spans="1:5" x14ac:dyDescent="0.35">
      <c r="A3" s="3" t="s">
        <v>240</v>
      </c>
      <c r="B3" s="3">
        <f>COUNTA(tblProducts[Product ID])</f>
        <v>25</v>
      </c>
    </row>
    <row r="4" spans="1:5" x14ac:dyDescent="0.35">
      <c r="A4" s="3" t="s">
        <v>176</v>
      </c>
      <c r="B4" s="3">
        <f>SUM(tblInventoryReport[Inventory Value])</f>
        <v>1297755</v>
      </c>
      <c r="E4" t="s">
        <v>249</v>
      </c>
    </row>
    <row r="5" spans="1:5" x14ac:dyDescent="0.35">
      <c r="A5" s="3" t="s">
        <v>245</v>
      </c>
      <c r="B5" s="3">
        <f>SUM(tblInventoryReport[Current Stock])</f>
        <v>3643</v>
      </c>
      <c r="E5">
        <f>Products!F2*'Inventory Report'!I2</f>
        <v>99450</v>
      </c>
    </row>
    <row r="6" spans="1:5" x14ac:dyDescent="0.35">
      <c r="A6" s="3" t="s">
        <v>241</v>
      </c>
      <c r="B6" s="3">
        <f>COUNTIF(tblInventoryReport[Stock Status],"Low Stock")</f>
        <v>0</v>
      </c>
      <c r="E6">
        <f>Products!F3*'Inventory Report'!I3</f>
        <v>143000</v>
      </c>
    </row>
    <row r="7" spans="1:5" x14ac:dyDescent="0.35">
      <c r="A7" s="3" t="s">
        <v>242</v>
      </c>
      <c r="B7" s="3">
        <f>COUNTIF(tblInventoryReport[Stock Status],"Out of Stock")</f>
        <v>0</v>
      </c>
      <c r="E7">
        <f>Products!F4*'Inventory Report'!I4</f>
        <v>112750</v>
      </c>
    </row>
    <row r="8" spans="1:5" x14ac:dyDescent="0.35">
      <c r="A8" s="3" t="s">
        <v>246</v>
      </c>
      <c r="B8" s="3">
        <f>SUM(tblPurchases[Total Cost])</f>
        <v>903800</v>
      </c>
      <c r="E8">
        <f>Products!F5*'Inventory Report'!I5</f>
        <v>222600</v>
      </c>
    </row>
    <row r="9" spans="1:5" x14ac:dyDescent="0.35">
      <c r="A9" s="3" t="s">
        <v>247</v>
      </c>
      <c r="B9" s="3">
        <f>SUM(tblSales[Total Sales])</f>
        <v>866550</v>
      </c>
      <c r="E9">
        <f>Products!F6*'Inventory Report'!I6</f>
        <v>73850</v>
      </c>
    </row>
    <row r="10" spans="1:5" x14ac:dyDescent="0.35">
      <c r="A10" s="3" t="s">
        <v>248</v>
      </c>
      <c r="B10" s="3">
        <f>SUM(tblSalesValueCurrentStock[[Sales Value of Current Stock ]])-SUM(tblInventoryReport[Inventory Value])</f>
        <v>646095</v>
      </c>
      <c r="E10">
        <f>Products!F7*'Inventory Report'!I7</f>
        <v>28960</v>
      </c>
    </row>
    <row r="11" spans="1:5" x14ac:dyDescent="0.35">
      <c r="E11">
        <f>Products!F8*'Inventory Report'!I8</f>
        <v>19000</v>
      </c>
    </row>
    <row r="12" spans="1:5" x14ac:dyDescent="0.35">
      <c r="E12">
        <f>Products!F9*'Inventory Report'!I9</f>
        <v>23760</v>
      </c>
    </row>
    <row r="13" spans="1:5" x14ac:dyDescent="0.35">
      <c r="E13">
        <f>Products!F10*'Inventory Report'!I10</f>
        <v>54080</v>
      </c>
    </row>
    <row r="14" spans="1:5" x14ac:dyDescent="0.35">
      <c r="E14">
        <f>Products!F11*'Inventory Report'!I11</f>
        <v>17440</v>
      </c>
    </row>
    <row r="15" spans="1:5" x14ac:dyDescent="0.35">
      <c r="E15">
        <f>Products!F12*'Inventory Report'!I12</f>
        <v>170000</v>
      </c>
    </row>
    <row r="16" spans="1:5" x14ac:dyDescent="0.35">
      <c r="E16">
        <f>Products!F13*'Inventory Report'!I13</f>
        <v>161200</v>
      </c>
    </row>
    <row r="17" spans="5:5" x14ac:dyDescent="0.35">
      <c r="E17">
        <f>Products!F14*'Inventory Report'!I14</f>
        <v>84000</v>
      </c>
    </row>
    <row r="18" spans="5:5" x14ac:dyDescent="0.35">
      <c r="E18">
        <f>Products!F15*'Inventory Report'!I15</f>
        <v>60800</v>
      </c>
    </row>
    <row r="19" spans="5:5" x14ac:dyDescent="0.35">
      <c r="E19">
        <f>Products!F16*'Inventory Report'!I16</f>
        <v>163800</v>
      </c>
    </row>
    <row r="20" spans="5:5" x14ac:dyDescent="0.35">
      <c r="E20">
        <f>Products!F17*'Inventory Report'!I17</f>
        <v>49500</v>
      </c>
    </row>
    <row r="21" spans="5:5" x14ac:dyDescent="0.35">
      <c r="E21">
        <f>Products!F18*'Inventory Report'!I18</f>
        <v>78000</v>
      </c>
    </row>
    <row r="22" spans="5:5" x14ac:dyDescent="0.35">
      <c r="E22">
        <f>Products!F19*'Inventory Report'!I19</f>
        <v>27000</v>
      </c>
    </row>
    <row r="23" spans="5:5" x14ac:dyDescent="0.35">
      <c r="E23">
        <f>Products!F20*'Inventory Report'!I20</f>
        <v>92800</v>
      </c>
    </row>
    <row r="24" spans="5:5" x14ac:dyDescent="0.35">
      <c r="E24">
        <f>Products!F21*'Inventory Report'!I21</f>
        <v>107100</v>
      </c>
    </row>
    <row r="25" spans="5:5" x14ac:dyDescent="0.35">
      <c r="E25">
        <f>Products!F22*'Inventory Report'!I22</f>
        <v>10340</v>
      </c>
    </row>
    <row r="26" spans="5:5" x14ac:dyDescent="0.35">
      <c r="E26">
        <f>Products!F23*'Inventory Report'!I23</f>
        <v>51150</v>
      </c>
    </row>
    <row r="27" spans="5:5" x14ac:dyDescent="0.35">
      <c r="E27">
        <f>Products!F24*'Inventory Report'!I24</f>
        <v>48150</v>
      </c>
    </row>
    <row r="28" spans="5:5" x14ac:dyDescent="0.35">
      <c r="E28">
        <f>Products!F25*'Inventory Report'!I25</f>
        <v>5600</v>
      </c>
    </row>
    <row r="29" spans="5:5" x14ac:dyDescent="0.35">
      <c r="E29">
        <f>Products!F26*'Inventory Report'!I26</f>
        <v>39520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4263A-CDEC-4C9F-B166-8F0B2F08BB06}">
  <dimension ref="A2:G21"/>
  <sheetViews>
    <sheetView workbookViewId="0">
      <selection activeCell="I53" sqref="I53"/>
    </sheetView>
  </sheetViews>
  <sheetFormatPr defaultRowHeight="14.5" x14ac:dyDescent="0.35"/>
  <cols>
    <col min="1" max="1" width="12.36328125" bestFit="1" customWidth="1"/>
    <col min="2" max="2" width="15.6328125" bestFit="1" customWidth="1"/>
    <col min="6" max="6" width="12.36328125" bestFit="1" customWidth="1"/>
    <col min="7" max="7" width="16.08984375" bestFit="1" customWidth="1"/>
  </cols>
  <sheetData>
    <row r="2" spans="1:7" x14ac:dyDescent="0.35">
      <c r="A2" s="38" t="s">
        <v>251</v>
      </c>
      <c r="B2" t="s">
        <v>253</v>
      </c>
      <c r="F2" s="38" t="s">
        <v>251</v>
      </c>
      <c r="G2" t="s">
        <v>254</v>
      </c>
    </row>
    <row r="3" spans="1:7" x14ac:dyDescent="0.35">
      <c r="A3" s="39" t="s">
        <v>57</v>
      </c>
      <c r="B3" s="40">
        <v>539</v>
      </c>
      <c r="F3" s="39" t="s">
        <v>29</v>
      </c>
      <c r="G3" s="40">
        <v>169600</v>
      </c>
    </row>
    <row r="4" spans="1:7" x14ac:dyDescent="0.35">
      <c r="A4" s="39" t="s">
        <v>22</v>
      </c>
      <c r="B4" s="40">
        <v>1059</v>
      </c>
      <c r="F4" s="39" t="s">
        <v>54</v>
      </c>
      <c r="G4" s="40">
        <v>121800</v>
      </c>
    </row>
    <row r="5" spans="1:7" x14ac:dyDescent="0.35">
      <c r="A5" s="39" t="s">
        <v>46</v>
      </c>
      <c r="B5" s="40">
        <v>165</v>
      </c>
      <c r="F5" s="39" t="s">
        <v>45</v>
      </c>
      <c r="G5" s="40">
        <v>119000</v>
      </c>
    </row>
    <row r="6" spans="1:7" x14ac:dyDescent="0.35">
      <c r="A6" s="39" t="s">
        <v>34</v>
      </c>
      <c r="B6" s="40">
        <v>1880</v>
      </c>
      <c r="F6" s="39" t="s">
        <v>48</v>
      </c>
      <c r="G6" s="40">
        <v>109200</v>
      </c>
    </row>
    <row r="7" spans="1:7" x14ac:dyDescent="0.35">
      <c r="A7" s="39" t="s">
        <v>252</v>
      </c>
      <c r="B7" s="40">
        <v>3643</v>
      </c>
      <c r="F7" s="39" t="s">
        <v>25</v>
      </c>
      <c r="G7" s="40">
        <v>99000</v>
      </c>
    </row>
    <row r="8" spans="1:7" x14ac:dyDescent="0.35">
      <c r="F8" s="39" t="s">
        <v>27</v>
      </c>
      <c r="G8" s="40">
        <v>71750</v>
      </c>
    </row>
    <row r="9" spans="1:7" x14ac:dyDescent="0.35">
      <c r="F9" s="39" t="s">
        <v>65</v>
      </c>
      <c r="G9" s="40">
        <v>69300</v>
      </c>
    </row>
    <row r="10" spans="1:7" x14ac:dyDescent="0.35">
      <c r="F10" s="39" t="s">
        <v>21</v>
      </c>
      <c r="G10" s="40">
        <v>68850</v>
      </c>
    </row>
    <row r="11" spans="1:7" x14ac:dyDescent="0.35">
      <c r="F11" s="39" t="s">
        <v>63</v>
      </c>
      <c r="G11" s="40">
        <v>60800</v>
      </c>
    </row>
    <row r="12" spans="1:7" x14ac:dyDescent="0.35">
      <c r="F12" s="39" t="s">
        <v>50</v>
      </c>
      <c r="G12" s="40">
        <v>56000</v>
      </c>
    </row>
    <row r="13" spans="1:7" x14ac:dyDescent="0.35">
      <c r="F13" s="39" t="s">
        <v>252</v>
      </c>
      <c r="G13" s="40">
        <v>945300</v>
      </c>
    </row>
    <row r="15" spans="1:7" x14ac:dyDescent="0.35">
      <c r="A15" s="38" t="s">
        <v>251</v>
      </c>
      <c r="B15" t="s">
        <v>257</v>
      </c>
      <c r="F15" s="38" t="s">
        <v>251</v>
      </c>
      <c r="G15" t="s">
        <v>258</v>
      </c>
    </row>
    <row r="16" spans="1:7" x14ac:dyDescent="0.35">
      <c r="A16" s="39" t="s">
        <v>255</v>
      </c>
      <c r="B16" s="40">
        <v>321500</v>
      </c>
      <c r="F16" s="39" t="s">
        <v>255</v>
      </c>
      <c r="G16" s="40">
        <v>150800</v>
      </c>
    </row>
    <row r="17" spans="1:7" x14ac:dyDescent="0.35">
      <c r="A17" s="39" t="s">
        <v>256</v>
      </c>
      <c r="B17" s="40">
        <v>157100</v>
      </c>
      <c r="F17" s="39" t="s">
        <v>256</v>
      </c>
      <c r="G17" s="40">
        <v>109850</v>
      </c>
    </row>
    <row r="18" spans="1:7" x14ac:dyDescent="0.35">
      <c r="A18" s="39" t="s">
        <v>389</v>
      </c>
      <c r="B18" s="40">
        <v>207340</v>
      </c>
      <c r="F18" s="39" t="s">
        <v>389</v>
      </c>
      <c r="G18" s="40">
        <v>220250</v>
      </c>
    </row>
    <row r="19" spans="1:7" x14ac:dyDescent="0.35">
      <c r="A19" s="39" t="s">
        <v>390</v>
      </c>
      <c r="B19" s="40">
        <v>217860</v>
      </c>
      <c r="F19" s="39" t="s">
        <v>390</v>
      </c>
      <c r="G19" s="40">
        <v>215070</v>
      </c>
    </row>
    <row r="20" spans="1:7" x14ac:dyDescent="0.35">
      <c r="A20" s="39" t="s">
        <v>252</v>
      </c>
      <c r="B20" s="40">
        <v>903800</v>
      </c>
      <c r="F20" s="39" t="s">
        <v>391</v>
      </c>
      <c r="G20" s="40">
        <v>170580</v>
      </c>
    </row>
    <row r="21" spans="1:7" x14ac:dyDescent="0.35">
      <c r="F21" s="39" t="s">
        <v>252</v>
      </c>
      <c r="G21" s="40">
        <v>866550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AE9C7-BF6C-47E7-89E1-1AB30D058940}">
  <dimension ref="A1:H61"/>
  <sheetViews>
    <sheetView topLeftCell="A46" workbookViewId="0">
      <selection activeCell="C45" sqref="C45"/>
    </sheetView>
  </sheetViews>
  <sheetFormatPr defaultRowHeight="14.5" x14ac:dyDescent="0.35"/>
  <cols>
    <col min="1" max="1" width="12.453125" customWidth="1"/>
    <col min="2" max="2" width="13.81640625" customWidth="1"/>
    <col min="3" max="3" width="21.26953125" bestFit="1" customWidth="1"/>
    <col min="4" max="4" width="21.26953125" customWidth="1"/>
    <col min="5" max="5" width="22.6328125" bestFit="1" customWidth="1"/>
    <col min="6" max="6" width="19.54296875" customWidth="1"/>
    <col min="7" max="7" width="18.81640625" customWidth="1"/>
    <col min="8" max="8" width="16.7265625" customWidth="1"/>
  </cols>
  <sheetData>
    <row r="1" spans="1:8" x14ac:dyDescent="0.35">
      <c r="A1" s="2" t="s">
        <v>178</v>
      </c>
      <c r="B1" s="2" t="s">
        <v>15</v>
      </c>
      <c r="C1" s="2" t="s">
        <v>16</v>
      </c>
      <c r="D1" s="2" t="s">
        <v>0</v>
      </c>
      <c r="E1" s="2" t="s">
        <v>17</v>
      </c>
      <c r="F1" s="2" t="s">
        <v>18</v>
      </c>
      <c r="G1" s="1" t="s">
        <v>4</v>
      </c>
      <c r="H1" s="1" t="s">
        <v>19</v>
      </c>
    </row>
    <row r="2" spans="1:8" x14ac:dyDescent="0.35">
      <c r="A2" s="3" t="s">
        <v>179</v>
      </c>
      <c r="B2" s="6">
        <v>46023</v>
      </c>
      <c r="C2" s="3" t="s">
        <v>77</v>
      </c>
      <c r="D2" s="3" t="s">
        <v>20</v>
      </c>
      <c r="E2" s="3" t="str">
        <f>IF(tblPurchases[[#This Row],[Product ID]]="","",_xlfn.XLOOKUP(tblPurchases[[#This Row],[Product ID]],tblProducts[Product ID],tblProducts[Product Name]))</f>
        <v>Wireless Mouse</v>
      </c>
      <c r="F2" s="4">
        <v>50</v>
      </c>
      <c r="G2">
        <f>IF(tblPurchases[[#This Row],[Product ID]] ="","",_xlfn.XLOOKUP(tblPurchases[[#This Row],[Product]],tblProducts[Product Name],tblProducts[Cost Price]))</f>
        <v>450</v>
      </c>
      <c r="H2">
        <f>IF(tblPurchases[[#This Row],[Product ID]] ="","",tblPurchases[[#This Row],[Cost Price]]*tblPurchases[[#This Row],[Qty Purchased]])</f>
        <v>22500</v>
      </c>
    </row>
    <row r="3" spans="1:8" x14ac:dyDescent="0.35">
      <c r="A3" s="3" t="s">
        <v>180</v>
      </c>
      <c r="B3" s="6">
        <v>46024</v>
      </c>
      <c r="C3" s="3" t="s">
        <v>83</v>
      </c>
      <c r="D3" s="3" t="s">
        <v>32</v>
      </c>
      <c r="E3" s="3" t="str">
        <f>IF(tblPurchases[[#This Row],[Product ID]]="","",_xlfn.XLOOKUP(tblPurchases[[#This Row],[Product ID]],tblProducts[Product ID],tblProducts[Product Name]))</f>
        <v>Notebook A5</v>
      </c>
      <c r="F3" s="4">
        <v>100</v>
      </c>
      <c r="G3">
        <f>IF(tblPurchases[[#This Row],[Product ID]] ="","",_xlfn.XLOOKUP(tblPurchases[[#This Row],[Product]],tblProducts[Product Name],tblProducts[Cost Price]))</f>
        <v>45</v>
      </c>
      <c r="H3">
        <f>IF(tblPurchases[[#This Row],[Product ID]] ="","",tblPurchases[[#This Row],[Cost Price]]*tblPurchases[[#This Row],[Qty Purchased]])</f>
        <v>4500</v>
      </c>
    </row>
    <row r="4" spans="1:8" x14ac:dyDescent="0.35">
      <c r="A4" s="3" t="s">
        <v>181</v>
      </c>
      <c r="B4" s="6">
        <v>46025</v>
      </c>
      <c r="C4" s="3" t="s">
        <v>89</v>
      </c>
      <c r="D4" s="3" t="s">
        <v>35</v>
      </c>
      <c r="E4" s="3" t="str">
        <f>IF(tblPurchases[[#This Row],[Product ID]]="","",_xlfn.XLOOKUP(tblPurchases[[#This Row],[Product ID]],tblProducts[Product ID],tblProducts[Product Name]))</f>
        <v>Ball Pen</v>
      </c>
      <c r="F4" s="4">
        <v>200</v>
      </c>
      <c r="G4">
        <f>IF(tblPurchases[[#This Row],[Product ID]] ="","",_xlfn.XLOOKUP(tblPurchases[[#This Row],[Product]],tblProducts[Product Name],tblProducts[Cost Price]))</f>
        <v>12</v>
      </c>
      <c r="H4">
        <f>IF(tblPurchases[[#This Row],[Product ID]] ="","",tblPurchases[[#This Row],[Cost Price]]*tblPurchases[[#This Row],[Qty Purchased]])</f>
        <v>2400</v>
      </c>
    </row>
    <row r="5" spans="1:8" x14ac:dyDescent="0.35">
      <c r="A5" s="3" t="s">
        <v>182</v>
      </c>
      <c r="B5" s="6">
        <v>46026</v>
      </c>
      <c r="C5" s="3" t="s">
        <v>95</v>
      </c>
      <c r="D5" s="3" t="s">
        <v>30</v>
      </c>
      <c r="E5" s="3" t="str">
        <f>IF(tblPurchases[[#This Row],[Product ID]]="","",_xlfn.XLOOKUP(tblPurchases[[#This Row],[Product ID]],tblProducts[Product ID],tblProducts[Product Name]))</f>
        <v>HDMI Cable</v>
      </c>
      <c r="F5" s="4">
        <v>75</v>
      </c>
      <c r="G5">
        <f>IF(tblPurchases[[#This Row],[Product ID]] ="","",_xlfn.XLOOKUP(tblPurchases[[#This Row],[Product]],tblProducts[Product Name],tblProducts[Cost Price]))</f>
        <v>180</v>
      </c>
      <c r="H5">
        <f>IF(tblPurchases[[#This Row],[Product ID]] ="","",tblPurchases[[#This Row],[Cost Price]]*tblPurchases[[#This Row],[Qty Purchased]])</f>
        <v>13500</v>
      </c>
    </row>
    <row r="6" spans="1:8" x14ac:dyDescent="0.35">
      <c r="A6" s="3" t="s">
        <v>183</v>
      </c>
      <c r="B6" s="6">
        <v>46027</v>
      </c>
      <c r="C6" s="3" t="s">
        <v>101</v>
      </c>
      <c r="D6" s="3" t="s">
        <v>39</v>
      </c>
      <c r="E6" s="3" t="str">
        <f>IF(tblPurchases[[#This Row],[Product ID]]="","",_xlfn.XLOOKUP(tblPurchases[[#This Row],[Product ID]],tblProducts[Product ID],tblProducts[Product Name]))</f>
        <v>Printer Paper (500 Sheets)</v>
      </c>
      <c r="F6" s="4">
        <v>60</v>
      </c>
      <c r="G6">
        <f>IF(tblPurchases[[#This Row],[Product ID]] ="","",_xlfn.XLOOKUP(tblPurchases[[#This Row],[Product]],tblProducts[Product Name],tblProducts[Cost Price]))</f>
        <v>220</v>
      </c>
      <c r="H6">
        <f>IF(tblPurchases[[#This Row],[Product ID]] ="","",tblPurchases[[#This Row],[Cost Price]]*tblPurchases[[#This Row],[Qty Purchased]])</f>
        <v>13200</v>
      </c>
    </row>
    <row r="7" spans="1:8" x14ac:dyDescent="0.35">
      <c r="A7" s="3" t="s">
        <v>184</v>
      </c>
      <c r="B7" s="6">
        <v>46029</v>
      </c>
      <c r="C7" s="3" t="s">
        <v>113</v>
      </c>
      <c r="D7" s="3" t="s">
        <v>24</v>
      </c>
      <c r="E7" s="3" t="str">
        <f>IF(tblPurchases[[#This Row],[Product ID]]="","",_xlfn.XLOOKUP(tblPurchases[[#This Row],[Product ID]],tblProducts[Product ID],tblProducts[Product Name]))</f>
        <v>Wireless Keyboard</v>
      </c>
      <c r="F7" s="4">
        <v>30</v>
      </c>
      <c r="G7">
        <f>IF(tblPurchases[[#This Row],[Product ID]] ="","",_xlfn.XLOOKUP(tblPurchases[[#This Row],[Product]],tblProducts[Product Name],tblProducts[Cost Price]))</f>
        <v>900</v>
      </c>
      <c r="H7">
        <f>IF(tblPurchases[[#This Row],[Product ID]] ="","",tblPurchases[[#This Row],[Cost Price]]*tblPurchases[[#This Row],[Qty Purchased]])</f>
        <v>27000</v>
      </c>
    </row>
    <row r="8" spans="1:8" x14ac:dyDescent="0.35">
      <c r="A8" s="3" t="s">
        <v>185</v>
      </c>
      <c r="B8" s="6">
        <v>46030</v>
      </c>
      <c r="C8" s="3" t="s">
        <v>119</v>
      </c>
      <c r="D8" s="3" t="s">
        <v>44</v>
      </c>
      <c r="E8" s="3" t="str">
        <f>IF(tblPurchases[[#This Row],[Product ID]]="","",_xlfn.XLOOKUP(tblPurchases[[#This Row],[Product ID]],tblProducts[Product ID],tblProducts[Product Name]))</f>
        <v>Office Chair</v>
      </c>
      <c r="F8" s="4">
        <v>10</v>
      </c>
      <c r="G8">
        <f>IF(tblPurchases[[#This Row],[Product ID]] ="","",_xlfn.XLOOKUP(tblPurchases[[#This Row],[Product]],tblProducts[Product Name],tblProducts[Cost Price]))</f>
        <v>3500</v>
      </c>
      <c r="H8">
        <f>IF(tblPurchases[[#This Row],[Product ID]] ="","",tblPurchases[[#This Row],[Cost Price]]*tblPurchases[[#This Row],[Qty Purchased]])</f>
        <v>35000</v>
      </c>
    </row>
    <row r="9" spans="1:8" x14ac:dyDescent="0.35">
      <c r="A9" s="3" t="s">
        <v>186</v>
      </c>
      <c r="B9" s="6">
        <v>46031</v>
      </c>
      <c r="C9" s="3" t="s">
        <v>136</v>
      </c>
      <c r="D9" s="3" t="s">
        <v>58</v>
      </c>
      <c r="E9" s="3" t="str">
        <f>IF(tblPurchases[[#This Row],[Product ID]]="","",_xlfn.XLOOKUP(tblPurchases[[#This Row],[Product ID]],tblProducts[Product ID],tblProducts[Product Name]))</f>
        <v>Laptop Backpack</v>
      </c>
      <c r="F9" s="4">
        <v>25</v>
      </c>
      <c r="G9">
        <f>IF(tblPurchases[[#This Row],[Product ID]] ="","",_xlfn.XLOOKUP(tblPurchases[[#This Row],[Product]],tblProducts[Product Name],tblProducts[Cost Price]))</f>
        <v>850</v>
      </c>
      <c r="H9">
        <f>IF(tblPurchases[[#This Row],[Product ID]] ="","",tblPurchases[[#This Row],[Cost Price]]*tblPurchases[[#This Row],[Qty Purchased]])</f>
        <v>21250</v>
      </c>
    </row>
    <row r="10" spans="1:8" x14ac:dyDescent="0.35">
      <c r="A10" s="3" t="s">
        <v>187</v>
      </c>
      <c r="B10" s="6">
        <v>46032</v>
      </c>
      <c r="C10" s="3" t="s">
        <v>142</v>
      </c>
      <c r="D10" s="3" t="s">
        <v>64</v>
      </c>
      <c r="E10" s="3" t="str">
        <f>IF(tblPurchases[[#This Row],[Product ID]]="","",_xlfn.XLOOKUP(tblPurchases[[#This Row],[Product ID]],tblProducts[Product ID],tblProducts[Product Name]))</f>
        <v>Bluetooth Speaker</v>
      </c>
      <c r="F10" s="4">
        <v>15</v>
      </c>
      <c r="G10">
        <f>IF(tblPurchases[[#This Row],[Product ID]] ="","",_xlfn.XLOOKUP(tblPurchases[[#This Row],[Product]],tblProducts[Product Name],tblProducts[Cost Price]))</f>
        <v>1100</v>
      </c>
      <c r="H10">
        <f>IF(tblPurchases[[#This Row],[Product ID]] ="","",tblPurchases[[#This Row],[Cost Price]]*tblPurchases[[#This Row],[Qty Purchased]])</f>
        <v>16500</v>
      </c>
    </row>
    <row r="11" spans="1:8" x14ac:dyDescent="0.35">
      <c r="A11" s="3" t="s">
        <v>188</v>
      </c>
      <c r="B11" s="6">
        <v>46033</v>
      </c>
      <c r="C11" s="3" t="s">
        <v>77</v>
      </c>
      <c r="D11" s="3" t="s">
        <v>26</v>
      </c>
      <c r="E11" s="3" t="str">
        <f>IF(tblPurchases[[#This Row],[Product ID]]="","",_xlfn.XLOOKUP(tblPurchases[[#This Row],[Product ID]],tblProducts[Product ID],tblProducts[Product Name]))</f>
        <v>USB Flash Drive 32GB</v>
      </c>
      <c r="F11" s="4">
        <v>80</v>
      </c>
      <c r="G11">
        <f>IF(tblPurchases[[#This Row],[Product ID]] ="","",_xlfn.XLOOKUP(tblPurchases[[#This Row],[Product]],tblProducts[Product Name],tblProducts[Cost Price]))</f>
        <v>350</v>
      </c>
      <c r="H11">
        <f>IF(tblPurchases[[#This Row],[Product ID]] ="","",tblPurchases[[#This Row],[Cost Price]]*tblPurchases[[#This Row],[Qty Purchased]])</f>
        <v>28000</v>
      </c>
    </row>
    <row r="12" spans="1:8" x14ac:dyDescent="0.35">
      <c r="A12" s="3" t="s">
        <v>189</v>
      </c>
      <c r="B12" s="6">
        <v>46035</v>
      </c>
      <c r="C12" s="3" t="s">
        <v>83</v>
      </c>
      <c r="D12" s="3" t="s">
        <v>68</v>
      </c>
      <c r="E12" s="3" t="str">
        <f>IF(tblPurchases[[#This Row],[Product ID]]="","",_xlfn.XLOOKUP(tblPurchases[[#This Row],[Product ID]],tblProducts[Product ID],tblProducts[Product Name]))</f>
        <v>Calculator</v>
      </c>
      <c r="F12" s="4">
        <v>35</v>
      </c>
      <c r="G12">
        <f>IF(tblPurchases[[#This Row],[Product ID]] ="","",_xlfn.XLOOKUP(tblPurchases[[#This Row],[Product]],tblProducts[Product Name],tblProducts[Cost Price]))</f>
        <v>350</v>
      </c>
      <c r="H12">
        <f>IF(tblPurchases[[#This Row],[Product ID]] ="","",tblPurchases[[#This Row],[Cost Price]]*tblPurchases[[#This Row],[Qty Purchased]])</f>
        <v>12250</v>
      </c>
    </row>
    <row r="13" spans="1:8" x14ac:dyDescent="0.35">
      <c r="A13" s="3" t="s">
        <v>190</v>
      </c>
      <c r="B13" s="6">
        <v>46037</v>
      </c>
      <c r="C13" s="3" t="s">
        <v>89</v>
      </c>
      <c r="D13" s="3" t="s">
        <v>72</v>
      </c>
      <c r="E13" s="3" t="str">
        <f>IF(tblPurchases[[#This Row],[Product ID]]="","",_xlfn.XLOOKUP(tblPurchases[[#This Row],[Product ID]],tblProducts[Product ID],tblProducts[Product Name]))</f>
        <v>File Folder</v>
      </c>
      <c r="F13" s="4">
        <v>150</v>
      </c>
      <c r="G13">
        <f>IF(tblPurchases[[#This Row],[Product ID]] ="","",_xlfn.XLOOKUP(tblPurchases[[#This Row],[Product]],tblProducts[Product Name],tblProducts[Cost Price]))</f>
        <v>18</v>
      </c>
      <c r="H13">
        <f>IF(tblPurchases[[#This Row],[Product ID]] ="","",tblPurchases[[#This Row],[Cost Price]]*tblPurchases[[#This Row],[Qty Purchased]])</f>
        <v>2700</v>
      </c>
    </row>
    <row r="14" spans="1:8" x14ac:dyDescent="0.35">
      <c r="A14" s="3" t="s">
        <v>191</v>
      </c>
      <c r="B14" s="6">
        <v>46039</v>
      </c>
      <c r="C14" s="3" t="s">
        <v>95</v>
      </c>
      <c r="D14" s="3" t="s">
        <v>62</v>
      </c>
      <c r="E14" s="3" t="str">
        <f>IF(tblPurchases[[#This Row],[Product ID]]="","",_xlfn.XLOOKUP(tblPurchases[[#This Row],[Product ID]],tblProducts[Product ID],tblProducts[Product Name]))</f>
        <v>Power Bank 10000mAh</v>
      </c>
      <c r="F14" s="4">
        <v>20</v>
      </c>
      <c r="G14">
        <f>IF(tblPurchases[[#This Row],[Product ID]] ="","",_xlfn.XLOOKUP(tblPurchases[[#This Row],[Product]],tblProducts[Product Name],tblProducts[Cost Price]))</f>
        <v>950</v>
      </c>
      <c r="H14">
        <f>IF(tblPurchases[[#This Row],[Product ID]] ="","",tblPurchases[[#This Row],[Cost Price]]*tblPurchases[[#This Row],[Qty Purchased]])</f>
        <v>19000</v>
      </c>
    </row>
    <row r="15" spans="1:8" x14ac:dyDescent="0.35">
      <c r="A15" s="3" t="s">
        <v>192</v>
      </c>
      <c r="B15" s="6">
        <v>46040</v>
      </c>
      <c r="C15" s="3" t="s">
        <v>101</v>
      </c>
      <c r="D15" s="3" t="s">
        <v>42</v>
      </c>
      <c r="E15" s="3" t="str">
        <f>IF(tblPurchases[[#This Row],[Product ID]]="","",_xlfn.XLOOKUP(tblPurchases[[#This Row],[Product ID]],tblProducts[Product ID],tblProducts[Product Name]))</f>
        <v>Highlighter Set</v>
      </c>
      <c r="F15" s="4">
        <v>40</v>
      </c>
      <c r="G15">
        <f>IF(tblPurchases[[#This Row],[Product ID]] ="","",_xlfn.XLOOKUP(tblPurchases[[#This Row],[Product]],tblProducts[Product Name],tblProducts[Cost Price]))</f>
        <v>95</v>
      </c>
      <c r="H15">
        <f>IF(tblPurchases[[#This Row],[Product ID]] ="","",tblPurchases[[#This Row],[Cost Price]]*tblPurchases[[#This Row],[Qty Purchased]])</f>
        <v>3800</v>
      </c>
    </row>
    <row r="16" spans="1:8" x14ac:dyDescent="0.35">
      <c r="A16" s="3" t="s">
        <v>193</v>
      </c>
      <c r="B16" s="6">
        <v>46042</v>
      </c>
      <c r="C16" s="3" t="s">
        <v>113</v>
      </c>
      <c r="D16" s="3" t="s">
        <v>60</v>
      </c>
      <c r="E16" s="3" t="str">
        <f>IF(tblPurchases[[#This Row],[Product ID]]="","",_xlfn.XLOOKUP(tblPurchases[[#This Row],[Product ID]],tblProducts[Product ID],tblProducts[Product Name]))</f>
        <v>Mobile Stand</v>
      </c>
      <c r="F16" s="4">
        <v>50</v>
      </c>
      <c r="G16">
        <f>IF(tblPurchases[[#This Row],[Product ID]] ="","",_xlfn.XLOOKUP(tblPurchases[[#This Row],[Product]],tblProducts[Product Name],tblProducts[Cost Price]))</f>
        <v>90</v>
      </c>
      <c r="H16">
        <f>IF(tblPurchases[[#This Row],[Product ID]] ="","",tblPurchases[[#This Row],[Cost Price]]*tblPurchases[[#This Row],[Qty Purchased]])</f>
        <v>4500</v>
      </c>
    </row>
    <row r="17" spans="1:8" x14ac:dyDescent="0.35">
      <c r="A17" s="3" t="s">
        <v>194</v>
      </c>
      <c r="B17" s="6">
        <v>46044</v>
      </c>
      <c r="C17" s="3" t="s">
        <v>119</v>
      </c>
      <c r="D17" s="3" t="s">
        <v>47</v>
      </c>
      <c r="E17" s="3" t="str">
        <f>IF(tblPurchases[[#This Row],[Product ID]]="","",_xlfn.XLOOKUP(tblPurchases[[#This Row],[Product ID]],tblProducts[Product ID],tblProducts[Product Name]))</f>
        <v>Study Table</v>
      </c>
      <c r="F17" s="4">
        <v>8</v>
      </c>
      <c r="G17">
        <f>IF(tblPurchases[[#This Row],[Product ID]] ="","",_xlfn.XLOOKUP(tblPurchases[[#This Row],[Product]],tblProducts[Product Name],tblProducts[Cost Price]))</f>
        <v>4200</v>
      </c>
      <c r="H17">
        <f>IF(tblPurchases[[#This Row],[Product ID]] ="","",tblPurchases[[#This Row],[Cost Price]]*tblPurchases[[#This Row],[Qty Purchased]])</f>
        <v>33600</v>
      </c>
    </row>
    <row r="18" spans="1:8" x14ac:dyDescent="0.35">
      <c r="A18" s="3" t="s">
        <v>195</v>
      </c>
      <c r="B18" s="6">
        <v>46046</v>
      </c>
      <c r="C18" s="3" t="s">
        <v>136</v>
      </c>
      <c r="D18" s="3" t="s">
        <v>53</v>
      </c>
      <c r="E18" s="3" t="str">
        <f>IF(tblPurchases[[#This Row],[Product ID]]="","",_xlfn.XLOOKUP(tblPurchases[[#This Row],[Product ID]],tblProducts[Product ID],tblProducts[Product Name]))</f>
        <v>Storage Cabinet</v>
      </c>
      <c r="F18" s="4">
        <v>6</v>
      </c>
      <c r="G18">
        <f>IF(tblPurchases[[#This Row],[Product ID]] ="","",_xlfn.XLOOKUP(tblPurchases[[#This Row],[Product]],tblProducts[Product Name],tblProducts[Cost Price]))</f>
        <v>5800</v>
      </c>
      <c r="H18">
        <f>IF(tblPurchases[[#This Row],[Product ID]] ="","",tblPurchases[[#This Row],[Cost Price]]*tblPurchases[[#This Row],[Qty Purchased]])</f>
        <v>34800</v>
      </c>
    </row>
    <row r="19" spans="1:8" x14ac:dyDescent="0.35">
      <c r="A19" s="3" t="s">
        <v>196</v>
      </c>
      <c r="B19" s="6">
        <v>46048</v>
      </c>
      <c r="C19" s="3" t="s">
        <v>142</v>
      </c>
      <c r="D19" s="3" t="s">
        <v>55</v>
      </c>
      <c r="E19" s="3" t="str">
        <f>IF(tblPurchases[[#This Row],[Product ID]]="","",_xlfn.XLOOKUP(tblPurchases[[#This Row],[Product ID]],tblProducts[Product ID],tblProducts[Product Name]))</f>
        <v>Water Bottle 1L</v>
      </c>
      <c r="F19" s="4">
        <v>90</v>
      </c>
      <c r="G19">
        <f>IF(tblPurchases[[#This Row],[Product ID]] ="","",_xlfn.XLOOKUP(tblPurchases[[#This Row],[Product]],tblProducts[Product Name],tblProducts[Cost Price]))</f>
        <v>120</v>
      </c>
      <c r="H19">
        <f>IF(tblPurchases[[#This Row],[Product ID]] ="","",tblPurchases[[#This Row],[Cost Price]]*tblPurchases[[#This Row],[Qty Purchased]])</f>
        <v>10800</v>
      </c>
    </row>
    <row r="20" spans="1:8" x14ac:dyDescent="0.35">
      <c r="A20" s="3" t="s">
        <v>197</v>
      </c>
      <c r="B20" s="6">
        <v>46050</v>
      </c>
      <c r="C20" s="3" t="s">
        <v>77</v>
      </c>
      <c r="D20" s="3" t="s">
        <v>70</v>
      </c>
      <c r="E20" s="3" t="str">
        <f>IF(tblPurchases[[#This Row],[Product ID]]="","",_xlfn.XLOOKUP(tblPurchases[[#This Row],[Product ID]],tblProducts[Product ID],tblProducts[Product Name]))</f>
        <v>Extension Board</v>
      </c>
      <c r="F20" s="4">
        <v>45</v>
      </c>
      <c r="G20">
        <f>IF(tblPurchases[[#This Row],[Product ID]] ="","",_xlfn.XLOOKUP(tblPurchases[[#This Row],[Product]],tblProducts[Product Name],tblProducts[Cost Price]))</f>
        <v>280</v>
      </c>
      <c r="H20">
        <f>IF(tblPurchases[[#This Row],[Product ID]] ="","",tblPurchases[[#This Row],[Cost Price]]*tblPurchases[[#This Row],[Qty Purchased]])</f>
        <v>12600</v>
      </c>
    </row>
    <row r="21" spans="1:8" x14ac:dyDescent="0.35">
      <c r="A21" s="3" t="s">
        <v>198</v>
      </c>
      <c r="B21" s="6">
        <v>46052</v>
      </c>
      <c r="C21" s="3" t="s">
        <v>83</v>
      </c>
      <c r="D21" s="3" t="s">
        <v>66</v>
      </c>
      <c r="E21" s="3" t="str">
        <f>IF(tblPurchases[[#This Row],[Product ID]]="","",_xlfn.XLOOKUP(tblPurchases[[#This Row],[Product ID]],tblProducts[Product ID],tblProducts[Product Name]))</f>
        <v>Whiteboard Marker</v>
      </c>
      <c r="F21" s="4">
        <v>120</v>
      </c>
      <c r="G21">
        <f>IF(tblPurchases[[#This Row],[Product ID]] ="","",_xlfn.XLOOKUP(tblPurchases[[#This Row],[Product]],tblProducts[Product Name],tblProducts[Cost Price]))</f>
        <v>30</v>
      </c>
      <c r="H21">
        <f>IF(tblPurchases[[#This Row],[Product ID]] ="","",tblPurchases[[#This Row],[Cost Price]]*tblPurchases[[#This Row],[Qty Purchased]])</f>
        <v>3600</v>
      </c>
    </row>
    <row r="22" spans="1:8" x14ac:dyDescent="0.35">
      <c r="A22" s="3" t="s">
        <v>199</v>
      </c>
      <c r="B22" s="6">
        <v>46055</v>
      </c>
      <c r="C22" s="3" t="s">
        <v>89</v>
      </c>
      <c r="D22" s="3" t="s">
        <v>37</v>
      </c>
      <c r="E22" s="3" t="str">
        <f>IF(tblPurchases[[#This Row],[Product ID]]="","",_xlfn.XLOOKUP(tblPurchases[[#This Row],[Product ID]],tblProducts[Product ID],tblProducts[Product Name]))</f>
        <v>Stapler</v>
      </c>
      <c r="F22" s="4">
        <v>40</v>
      </c>
      <c r="G22">
        <f>IF(tblPurchases[[#This Row],[Product ID]] ="","",_xlfn.XLOOKUP(tblPurchases[[#This Row],[Product]],tblProducts[Product Name],tblProducts[Cost Price]))</f>
        <v>110</v>
      </c>
      <c r="H22">
        <f>IF(tblPurchases[[#This Row],[Product ID]] ="","",tblPurchases[[#This Row],[Cost Price]]*tblPurchases[[#This Row],[Qty Purchased]])</f>
        <v>4400</v>
      </c>
    </row>
    <row r="23" spans="1:8" x14ac:dyDescent="0.35">
      <c r="A23" s="3" t="s">
        <v>200</v>
      </c>
      <c r="B23" s="6">
        <v>46057</v>
      </c>
      <c r="C23" s="3" t="s">
        <v>95</v>
      </c>
      <c r="D23" s="3" t="s">
        <v>28</v>
      </c>
      <c r="E23" s="3" t="str">
        <f>IF(tblPurchases[[#This Row],[Product ID]]="","",_xlfn.XLOOKUP(tblPurchases[[#This Row],[Product ID]],tblProducts[Product ID],tblProducts[Product Name]))</f>
        <v>External Hard Drive 1TB</v>
      </c>
      <c r="F23" s="4">
        <v>12</v>
      </c>
      <c r="G23">
        <f>IF(tblPurchases[[#This Row],[Product ID]] ="","",_xlfn.XLOOKUP(tblPurchases[[#This Row],[Product]],tblProducts[Product Name],tblProducts[Cost Price]))</f>
        <v>3200</v>
      </c>
      <c r="H23">
        <f>IF(tblPurchases[[#This Row],[Product ID]] ="","",tblPurchases[[#This Row],[Cost Price]]*tblPurchases[[#This Row],[Qty Purchased]])</f>
        <v>38400</v>
      </c>
    </row>
    <row r="24" spans="1:8" x14ac:dyDescent="0.35">
      <c r="A24" s="3" t="s">
        <v>201</v>
      </c>
      <c r="B24" s="6">
        <v>46059</v>
      </c>
      <c r="C24" s="3" t="s">
        <v>101</v>
      </c>
      <c r="D24" s="3" t="s">
        <v>74</v>
      </c>
      <c r="E24" s="3" t="str">
        <f>IF(tblPurchases[[#This Row],[Product ID]]="","",_xlfn.XLOOKUP(tblPurchases[[#This Row],[Product ID]],tblProducts[Product ID],tblProducts[Product Name]))</f>
        <v>Desk Organizer</v>
      </c>
      <c r="F24" s="4">
        <v>35</v>
      </c>
      <c r="G24">
        <f>IF(tblPurchases[[#This Row],[Product ID]] ="","",_xlfn.XLOOKUP(tblPurchases[[#This Row],[Product]],tblProducts[Product Name],tblProducts[Cost Price]))</f>
        <v>220</v>
      </c>
      <c r="H24">
        <f>IF(tblPurchases[[#This Row],[Product ID]] ="","",tblPurchases[[#This Row],[Cost Price]]*tblPurchases[[#This Row],[Qty Purchased]])</f>
        <v>7700</v>
      </c>
    </row>
    <row r="25" spans="1:8" x14ac:dyDescent="0.35">
      <c r="A25" s="3" t="s">
        <v>202</v>
      </c>
      <c r="B25" s="6">
        <v>46061</v>
      </c>
      <c r="C25" s="3" t="s">
        <v>113</v>
      </c>
      <c r="D25" s="3" t="s">
        <v>49</v>
      </c>
      <c r="E25" s="3" t="str">
        <f>IF(tblPurchases[[#This Row],[Product ID]]="","",_xlfn.XLOOKUP(tblPurchases[[#This Row],[Product ID]],tblProducts[Product ID],tblProducts[Product Name]))</f>
        <v>Bookshelf</v>
      </c>
      <c r="F25" s="4">
        <v>5</v>
      </c>
      <c r="G25">
        <f>IF(tblPurchases[[#This Row],[Product ID]] ="","",_xlfn.XLOOKUP(tblPurchases[[#This Row],[Product]],tblProducts[Product Name],tblProducts[Cost Price]))</f>
        <v>2800</v>
      </c>
      <c r="H25">
        <f>IF(tblPurchases[[#This Row],[Product ID]] ="","",tblPurchases[[#This Row],[Cost Price]]*tblPurchases[[#This Row],[Qty Purchased]])</f>
        <v>14000</v>
      </c>
    </row>
    <row r="26" spans="1:8" x14ac:dyDescent="0.35">
      <c r="A26" s="3" t="s">
        <v>203</v>
      </c>
      <c r="B26" s="6">
        <v>46063</v>
      </c>
      <c r="C26" s="3" t="s">
        <v>119</v>
      </c>
      <c r="D26" s="3" t="s">
        <v>51</v>
      </c>
      <c r="E26" s="3" t="str">
        <f>IF(tblPurchases[[#This Row],[Product ID]]="","",_xlfn.XLOOKUP(tblPurchases[[#This Row],[Product ID]],tblProducts[Product ID],tblProducts[Product Name]))</f>
        <v>LED Desk Lamp</v>
      </c>
      <c r="F26" s="4">
        <v>25</v>
      </c>
      <c r="G26">
        <f>IF(tblPurchases[[#This Row],[Product ID]] ="","",_xlfn.XLOOKUP(tblPurchases[[#This Row],[Product]],tblProducts[Product Name],tblProducts[Cost Price]))</f>
        <v>650</v>
      </c>
      <c r="H26">
        <f>IF(tblPurchases[[#This Row],[Product ID]] ="","",tblPurchases[[#This Row],[Cost Price]]*tblPurchases[[#This Row],[Qty Purchased]])</f>
        <v>16250</v>
      </c>
    </row>
    <row r="27" spans="1:8" x14ac:dyDescent="0.35">
      <c r="A27" s="3" t="s">
        <v>204</v>
      </c>
      <c r="B27" s="6">
        <v>46065</v>
      </c>
      <c r="C27" s="3" t="s">
        <v>136</v>
      </c>
      <c r="D27" s="3" t="s">
        <v>20</v>
      </c>
      <c r="E27" s="3" t="str">
        <f>IF(tblPurchases[[#This Row],[Product ID]]="","",_xlfn.XLOOKUP(tblPurchases[[#This Row],[Product ID]],tblProducts[Product ID],tblProducts[Product Name]))</f>
        <v>Wireless Mouse</v>
      </c>
      <c r="F27" s="4">
        <v>40</v>
      </c>
      <c r="G27">
        <f>IF(tblPurchases[[#This Row],[Product ID]] ="","",_xlfn.XLOOKUP(tblPurchases[[#This Row],[Product]],tblProducts[Product Name],tblProducts[Cost Price]))</f>
        <v>450</v>
      </c>
      <c r="H27">
        <f>IF(tblPurchases[[#This Row],[Product ID]] ="","",tblPurchases[[#This Row],[Cost Price]]*tblPurchases[[#This Row],[Qty Purchased]])</f>
        <v>18000</v>
      </c>
    </row>
    <row r="28" spans="1:8" x14ac:dyDescent="0.35">
      <c r="A28" s="3" t="s">
        <v>205</v>
      </c>
      <c r="B28" s="6">
        <v>46068</v>
      </c>
      <c r="C28" s="3" t="s">
        <v>142</v>
      </c>
      <c r="D28" s="3" t="s">
        <v>32</v>
      </c>
      <c r="E28" s="3" t="str">
        <f>IF(tblPurchases[[#This Row],[Product ID]]="","",_xlfn.XLOOKUP(tblPurchases[[#This Row],[Product ID]],tblProducts[Product ID],tblProducts[Product Name]))</f>
        <v>Notebook A5</v>
      </c>
      <c r="F28" s="4">
        <v>80</v>
      </c>
      <c r="G28">
        <f>IF(tblPurchases[[#This Row],[Product ID]] ="","",_xlfn.XLOOKUP(tblPurchases[[#This Row],[Product]],tblProducts[Product Name],tblProducts[Cost Price]))</f>
        <v>45</v>
      </c>
      <c r="H28">
        <f>IF(tblPurchases[[#This Row],[Product ID]] ="","",tblPurchases[[#This Row],[Cost Price]]*tblPurchases[[#This Row],[Qty Purchased]])</f>
        <v>3600</v>
      </c>
    </row>
    <row r="29" spans="1:8" x14ac:dyDescent="0.35">
      <c r="A29" s="3" t="s">
        <v>206</v>
      </c>
      <c r="B29" s="6">
        <v>46071</v>
      </c>
      <c r="C29" s="3" t="s">
        <v>77</v>
      </c>
      <c r="D29" s="3" t="s">
        <v>35</v>
      </c>
      <c r="E29" s="3" t="str">
        <f>IF(tblPurchases[[#This Row],[Product ID]]="","",_xlfn.XLOOKUP(tblPurchases[[#This Row],[Product ID]],tblProducts[Product ID],tblProducts[Product Name]))</f>
        <v>Ball Pen</v>
      </c>
      <c r="F29" s="4">
        <v>150</v>
      </c>
      <c r="G29">
        <f>IF(tblPurchases[[#This Row],[Product ID]] ="","",_xlfn.XLOOKUP(tblPurchases[[#This Row],[Product]],tblProducts[Product Name],tblProducts[Cost Price]))</f>
        <v>12</v>
      </c>
      <c r="H29">
        <f>IF(tblPurchases[[#This Row],[Product ID]] ="","",tblPurchases[[#This Row],[Cost Price]]*tblPurchases[[#This Row],[Qty Purchased]])</f>
        <v>1800</v>
      </c>
    </row>
    <row r="30" spans="1:8" x14ac:dyDescent="0.35">
      <c r="A30" s="3" t="s">
        <v>207</v>
      </c>
      <c r="B30" s="6">
        <v>46073</v>
      </c>
      <c r="C30" s="3" t="s">
        <v>83</v>
      </c>
      <c r="D30" s="3" t="s">
        <v>30</v>
      </c>
      <c r="E30" s="3" t="str">
        <f>IF(tblPurchases[[#This Row],[Product ID]]="","",_xlfn.XLOOKUP(tblPurchases[[#This Row],[Product ID]],tblProducts[Product ID],tblProducts[Product Name]))</f>
        <v>HDMI Cable</v>
      </c>
      <c r="F30" s="4">
        <v>50</v>
      </c>
      <c r="G30">
        <f>IF(tblPurchases[[#This Row],[Product ID]] ="","",_xlfn.XLOOKUP(tblPurchases[[#This Row],[Product]],tblProducts[Product Name],tblProducts[Cost Price]))</f>
        <v>180</v>
      </c>
      <c r="H30">
        <f>IF(tblPurchases[[#This Row],[Product ID]] ="","",tblPurchases[[#This Row],[Cost Price]]*tblPurchases[[#This Row],[Qty Purchased]])</f>
        <v>9000</v>
      </c>
    </row>
    <row r="31" spans="1:8" x14ac:dyDescent="0.35">
      <c r="A31" s="3" t="s">
        <v>208</v>
      </c>
      <c r="B31" s="6">
        <v>46075</v>
      </c>
      <c r="C31" s="3" t="s">
        <v>89</v>
      </c>
      <c r="D31" s="3" t="s">
        <v>55</v>
      </c>
      <c r="E31" s="3" t="str">
        <f>IF(tblPurchases[[#This Row],[Product ID]]="","",_xlfn.XLOOKUP(tblPurchases[[#This Row],[Product ID]],tblProducts[Product ID],tblProducts[Product Name]))</f>
        <v>Water Bottle 1L</v>
      </c>
      <c r="F31" s="4">
        <v>60</v>
      </c>
      <c r="G31">
        <f>IF(tblPurchases[[#This Row],[Product ID]] ="","",_xlfn.XLOOKUP(tblPurchases[[#This Row],[Product]],tblProducts[Product Name],tblProducts[Cost Price]))</f>
        <v>120</v>
      </c>
      <c r="H31">
        <f>IF(tblPurchases[[#This Row],[Product ID]] ="","",tblPurchases[[#This Row],[Cost Price]]*tblPurchases[[#This Row],[Qty Purchased]])</f>
        <v>7200</v>
      </c>
    </row>
    <row r="32" spans="1:8" x14ac:dyDescent="0.35">
      <c r="A32" s="3" t="s">
        <v>359</v>
      </c>
      <c r="B32" s="6">
        <v>46078</v>
      </c>
      <c r="C32" s="3" t="s">
        <v>95</v>
      </c>
      <c r="D32" s="43" t="s">
        <v>26</v>
      </c>
      <c r="E32" s="3" t="str">
        <f>IF(tblPurchases[[#This Row],[Product ID]]="","",_xlfn.XLOOKUP(tblPurchases[[#This Row],[Product ID]],tblProducts[Product ID],tblProducts[Product Name]))</f>
        <v>USB Flash Drive 32GB</v>
      </c>
      <c r="F32" s="46">
        <v>60</v>
      </c>
      <c r="G32" s="44">
        <f>IF(tblPurchases[[#This Row],[Product ID]] ="","",_xlfn.XLOOKUP(tblPurchases[[#This Row],[Product]],tblProducts[Product Name],tblProducts[Cost Price]))</f>
        <v>350</v>
      </c>
      <c r="H32" s="44">
        <f>IF(tblPurchases[[#This Row],[Product ID]] ="","",tblPurchases[[#This Row],[Cost Price]]*tblPurchases[[#This Row],[Qty Purchased]])</f>
        <v>21000</v>
      </c>
    </row>
    <row r="33" spans="1:8" x14ac:dyDescent="0.35">
      <c r="A33" s="3" t="s">
        <v>360</v>
      </c>
      <c r="B33" s="6">
        <v>46080</v>
      </c>
      <c r="C33" s="3" t="s">
        <v>77</v>
      </c>
      <c r="D33" s="43" t="s">
        <v>20</v>
      </c>
      <c r="E33" s="3" t="str">
        <f>IF(tblPurchases[[#This Row],[Product ID]]="","",_xlfn.XLOOKUP(tblPurchases[[#This Row],[Product ID]],tblProducts[Product ID],tblProducts[Product Name]))</f>
        <v>Wireless Mouse</v>
      </c>
      <c r="F33" s="46">
        <v>35</v>
      </c>
      <c r="G33" s="44">
        <f>IF(tblPurchases[[#This Row],[Product ID]] ="","",_xlfn.XLOOKUP(tblPurchases[[#This Row],[Product]],tblProducts[Product Name],tblProducts[Cost Price]))</f>
        <v>450</v>
      </c>
      <c r="H33" s="44">
        <f>IF(tblPurchases[[#This Row],[Product ID]] ="","",tblPurchases[[#This Row],[Cost Price]]*tblPurchases[[#This Row],[Qty Purchased]])</f>
        <v>15750</v>
      </c>
    </row>
    <row r="34" spans="1:8" x14ac:dyDescent="0.35">
      <c r="A34" s="3" t="s">
        <v>361</v>
      </c>
      <c r="B34" s="6">
        <v>46082</v>
      </c>
      <c r="C34" s="3" t="s">
        <v>83</v>
      </c>
      <c r="D34" s="43" t="s">
        <v>39</v>
      </c>
      <c r="E34" s="3" t="str">
        <f>IF(tblPurchases[[#This Row],[Product ID]]="","",_xlfn.XLOOKUP(tblPurchases[[#This Row],[Product ID]],tblProducts[Product ID],tblProducts[Product Name]))</f>
        <v>Printer Paper (500 Sheets)</v>
      </c>
      <c r="F34" s="46">
        <v>70</v>
      </c>
      <c r="G34" s="44">
        <f>IF(tblPurchases[[#This Row],[Product ID]] ="","",_xlfn.XLOOKUP(tblPurchases[[#This Row],[Product]],tblProducts[Product Name],tblProducts[Cost Price]))</f>
        <v>220</v>
      </c>
      <c r="H34" s="44">
        <f>IF(tblPurchases[[#This Row],[Product ID]] ="","",tblPurchases[[#This Row],[Cost Price]]*tblPurchases[[#This Row],[Qty Purchased]])</f>
        <v>15400</v>
      </c>
    </row>
    <row r="35" spans="1:8" x14ac:dyDescent="0.35">
      <c r="A35" s="3" t="s">
        <v>362</v>
      </c>
      <c r="B35" s="6">
        <v>46084</v>
      </c>
      <c r="C35" s="3" t="s">
        <v>113</v>
      </c>
      <c r="D35" s="43" t="s">
        <v>62</v>
      </c>
      <c r="E35" s="3" t="str">
        <f>IF(tblPurchases[[#This Row],[Product ID]]="","",_xlfn.XLOOKUP(tblPurchases[[#This Row],[Product ID]],tblProducts[Product ID],tblProducts[Product Name]))</f>
        <v>Power Bank 10000mAh</v>
      </c>
      <c r="F35" s="46">
        <v>18</v>
      </c>
      <c r="G35" s="44">
        <f>IF(tblPurchases[[#This Row],[Product ID]] ="","",_xlfn.XLOOKUP(tblPurchases[[#This Row],[Product]],tblProducts[Product Name],tblProducts[Cost Price]))</f>
        <v>950</v>
      </c>
      <c r="H35" s="44">
        <f>IF(tblPurchases[[#This Row],[Product ID]] ="","",tblPurchases[[#This Row],[Cost Price]]*tblPurchases[[#This Row],[Qty Purchased]])</f>
        <v>17100</v>
      </c>
    </row>
    <row r="36" spans="1:8" x14ac:dyDescent="0.35">
      <c r="A36" s="3" t="s">
        <v>363</v>
      </c>
      <c r="B36" s="6">
        <v>46086</v>
      </c>
      <c r="C36" s="3" t="s">
        <v>119</v>
      </c>
      <c r="D36" s="43" t="s">
        <v>44</v>
      </c>
      <c r="E36" s="3" t="str">
        <f>IF(tblPurchases[[#This Row],[Product ID]]="","",_xlfn.XLOOKUP(tblPurchases[[#This Row],[Product ID]],tblProducts[Product ID],tblProducts[Product Name]))</f>
        <v>Office Chair</v>
      </c>
      <c r="F36" s="46">
        <v>8</v>
      </c>
      <c r="G36" s="44">
        <f>IF(tblPurchases[[#This Row],[Product ID]] ="","",_xlfn.XLOOKUP(tblPurchases[[#This Row],[Product]],tblProducts[Product Name],tblProducts[Cost Price]))</f>
        <v>3500</v>
      </c>
      <c r="H36" s="44">
        <f>IF(tblPurchases[[#This Row],[Product ID]] ="","",tblPurchases[[#This Row],[Cost Price]]*tblPurchases[[#This Row],[Qty Purchased]])</f>
        <v>28000</v>
      </c>
    </row>
    <row r="37" spans="1:8" x14ac:dyDescent="0.35">
      <c r="A37" s="3" t="s">
        <v>364</v>
      </c>
      <c r="B37" s="6">
        <v>46088</v>
      </c>
      <c r="C37" s="3" t="s">
        <v>101</v>
      </c>
      <c r="D37" s="43" t="s">
        <v>72</v>
      </c>
      <c r="E37" s="3" t="str">
        <f>IF(tblPurchases[[#This Row],[Product ID]]="","",_xlfn.XLOOKUP(tblPurchases[[#This Row],[Product ID]],tblProducts[Product ID],tblProducts[Product Name]))</f>
        <v>File Folder</v>
      </c>
      <c r="F37" s="46">
        <v>180</v>
      </c>
      <c r="G37" s="44">
        <f>IF(tblPurchases[[#This Row],[Product ID]] ="","",_xlfn.XLOOKUP(tblPurchases[[#This Row],[Product]],tblProducts[Product Name],tblProducts[Cost Price]))</f>
        <v>18</v>
      </c>
      <c r="H37" s="44">
        <f>IF(tblPurchases[[#This Row],[Product ID]] ="","",tblPurchases[[#This Row],[Cost Price]]*tblPurchases[[#This Row],[Qty Purchased]])</f>
        <v>3240</v>
      </c>
    </row>
    <row r="38" spans="1:8" x14ac:dyDescent="0.35">
      <c r="A38" s="3" t="s">
        <v>365</v>
      </c>
      <c r="B38" s="6">
        <v>46090</v>
      </c>
      <c r="C38" s="3" t="s">
        <v>136</v>
      </c>
      <c r="D38" s="43" t="s">
        <v>64</v>
      </c>
      <c r="E38" s="3" t="str">
        <f>IF(tblPurchases[[#This Row],[Product ID]]="","",_xlfn.XLOOKUP(tblPurchases[[#This Row],[Product ID]],tblProducts[Product ID],tblProducts[Product Name]))</f>
        <v>Bluetooth Speaker</v>
      </c>
      <c r="F38" s="46">
        <v>20</v>
      </c>
      <c r="G38" s="44">
        <f>IF(tblPurchases[[#This Row],[Product ID]] ="","",_xlfn.XLOOKUP(tblPurchases[[#This Row],[Product]],tblProducts[Product Name],tblProducts[Cost Price]))</f>
        <v>1100</v>
      </c>
      <c r="H38" s="44">
        <f>IF(tblPurchases[[#This Row],[Product ID]] ="","",tblPurchases[[#This Row],[Cost Price]]*tblPurchases[[#This Row],[Qty Purchased]])</f>
        <v>22000</v>
      </c>
    </row>
    <row r="39" spans="1:8" x14ac:dyDescent="0.35">
      <c r="A39" s="3" t="s">
        <v>366</v>
      </c>
      <c r="B39" s="6">
        <v>46092</v>
      </c>
      <c r="C39" s="3" t="s">
        <v>142</v>
      </c>
      <c r="D39" s="43" t="s">
        <v>32</v>
      </c>
      <c r="E39" s="3" t="str">
        <f>IF(tblPurchases[[#This Row],[Product ID]]="","",_xlfn.XLOOKUP(tblPurchases[[#This Row],[Product ID]],tblProducts[Product ID],tblProducts[Product Name]))</f>
        <v>Notebook A5</v>
      </c>
      <c r="F39" s="46">
        <v>90</v>
      </c>
      <c r="G39" s="44">
        <f>IF(tblPurchases[[#This Row],[Product ID]] ="","",_xlfn.XLOOKUP(tblPurchases[[#This Row],[Product]],tblProducts[Product Name],tblProducts[Cost Price]))</f>
        <v>45</v>
      </c>
      <c r="H39" s="44">
        <f>IF(tblPurchases[[#This Row],[Product ID]] ="","",tblPurchases[[#This Row],[Cost Price]]*tblPurchases[[#This Row],[Qty Purchased]])</f>
        <v>4050</v>
      </c>
    </row>
    <row r="40" spans="1:8" x14ac:dyDescent="0.35">
      <c r="A40" s="3" t="s">
        <v>367</v>
      </c>
      <c r="B40" s="6">
        <v>46094</v>
      </c>
      <c r="C40" s="3" t="s">
        <v>89</v>
      </c>
      <c r="D40" s="43" t="s">
        <v>35</v>
      </c>
      <c r="E40" s="3" t="str">
        <f>IF(tblPurchases[[#This Row],[Product ID]]="","",_xlfn.XLOOKUP(tblPurchases[[#This Row],[Product ID]],tblProducts[Product ID],tblProducts[Product Name]))</f>
        <v>Ball Pen</v>
      </c>
      <c r="F40" s="46">
        <v>250</v>
      </c>
      <c r="G40" s="44">
        <f>IF(tblPurchases[[#This Row],[Product ID]] ="","",_xlfn.XLOOKUP(tblPurchases[[#This Row],[Product]],tblProducts[Product Name],tblProducts[Cost Price]))</f>
        <v>12</v>
      </c>
      <c r="H40" s="44">
        <f>IF(tblPurchases[[#This Row],[Product ID]] ="","",tblPurchases[[#This Row],[Cost Price]]*tblPurchases[[#This Row],[Qty Purchased]])</f>
        <v>3000</v>
      </c>
    </row>
    <row r="41" spans="1:8" x14ac:dyDescent="0.35">
      <c r="A41" s="3" t="s">
        <v>368</v>
      </c>
      <c r="B41" s="6">
        <v>46096</v>
      </c>
      <c r="C41" s="3" t="s">
        <v>95</v>
      </c>
      <c r="D41" s="43" t="s">
        <v>30</v>
      </c>
      <c r="E41" s="3" t="str">
        <f>IF(tblPurchases[[#This Row],[Product ID]]="","",_xlfn.XLOOKUP(tblPurchases[[#This Row],[Product ID]],tblProducts[Product ID],tblProducts[Product Name]))</f>
        <v>HDMI Cable</v>
      </c>
      <c r="F41" s="46">
        <v>65</v>
      </c>
      <c r="G41" s="44">
        <f>IF(tblPurchases[[#This Row],[Product ID]] ="","",_xlfn.XLOOKUP(tblPurchases[[#This Row],[Product]],tblProducts[Product Name],tblProducts[Cost Price]))</f>
        <v>180</v>
      </c>
      <c r="H41" s="44">
        <f>IF(tblPurchases[[#This Row],[Product ID]] ="","",tblPurchases[[#This Row],[Cost Price]]*tblPurchases[[#This Row],[Qty Purchased]])</f>
        <v>11700</v>
      </c>
    </row>
    <row r="42" spans="1:8" x14ac:dyDescent="0.35">
      <c r="A42" s="3" t="s">
        <v>369</v>
      </c>
      <c r="B42" s="6">
        <v>46099</v>
      </c>
      <c r="C42" s="3" t="s">
        <v>77</v>
      </c>
      <c r="D42" s="43" t="s">
        <v>70</v>
      </c>
      <c r="E42" s="3" t="str">
        <f>IF(tblPurchases[[#This Row],[Product ID]]="","",_xlfn.XLOOKUP(tblPurchases[[#This Row],[Product ID]],tblProducts[Product ID],tblProducts[Product Name]))</f>
        <v>Extension Board</v>
      </c>
      <c r="F42" s="46">
        <v>55</v>
      </c>
      <c r="G42" s="44">
        <f>IF(tblPurchases[[#This Row],[Product ID]] ="","",_xlfn.XLOOKUP(tblPurchases[[#This Row],[Product]],tblProducts[Product Name],tblProducts[Cost Price]))</f>
        <v>280</v>
      </c>
      <c r="H42" s="44">
        <f>IF(tblPurchases[[#This Row],[Product ID]] ="","",tblPurchases[[#This Row],[Cost Price]]*tblPurchases[[#This Row],[Qty Purchased]])</f>
        <v>15400</v>
      </c>
    </row>
    <row r="43" spans="1:8" x14ac:dyDescent="0.35">
      <c r="A43" s="3" t="s">
        <v>370</v>
      </c>
      <c r="B43" s="6">
        <v>46101</v>
      </c>
      <c r="C43" s="3" t="s">
        <v>83</v>
      </c>
      <c r="D43" s="43" t="s">
        <v>42</v>
      </c>
      <c r="E43" s="3" t="str">
        <f>IF(tblPurchases[[#This Row],[Product ID]]="","",_xlfn.XLOOKUP(tblPurchases[[#This Row],[Product ID]],tblProducts[Product ID],tblProducts[Product Name]))</f>
        <v>Highlighter Set</v>
      </c>
      <c r="F43" s="46">
        <v>50</v>
      </c>
      <c r="G43" s="44">
        <f>IF(tblPurchases[[#This Row],[Product ID]] ="","",_xlfn.XLOOKUP(tblPurchases[[#This Row],[Product]],tblProducts[Product Name],tblProducts[Cost Price]))</f>
        <v>95</v>
      </c>
      <c r="H43" s="44">
        <f>IF(tblPurchases[[#This Row],[Product ID]] ="","",tblPurchases[[#This Row],[Cost Price]]*tblPurchases[[#This Row],[Qty Purchased]])</f>
        <v>4750</v>
      </c>
    </row>
    <row r="44" spans="1:8" x14ac:dyDescent="0.35">
      <c r="A44" s="3" t="s">
        <v>371</v>
      </c>
      <c r="B44" s="6">
        <v>46103</v>
      </c>
      <c r="C44" s="3" t="s">
        <v>113</v>
      </c>
      <c r="D44" s="43" t="s">
        <v>58</v>
      </c>
      <c r="E44" s="3" t="str">
        <f>IF(tblPurchases[[#This Row],[Product ID]]="","",_xlfn.XLOOKUP(tblPurchases[[#This Row],[Product ID]],tblProducts[Product ID],tblProducts[Product Name]))</f>
        <v>Laptop Backpack</v>
      </c>
      <c r="F44" s="46">
        <v>30</v>
      </c>
      <c r="G44" s="44">
        <f>IF(tblPurchases[[#This Row],[Product ID]] ="","",_xlfn.XLOOKUP(tblPurchases[[#This Row],[Product]],tblProducts[Product Name],tblProducts[Cost Price]))</f>
        <v>850</v>
      </c>
      <c r="H44" s="44">
        <f>IF(tblPurchases[[#This Row],[Product ID]] ="","",tblPurchases[[#This Row],[Cost Price]]*tblPurchases[[#This Row],[Qty Purchased]])</f>
        <v>25500</v>
      </c>
    </row>
    <row r="45" spans="1:8" x14ac:dyDescent="0.35">
      <c r="A45" s="3" t="s">
        <v>372</v>
      </c>
      <c r="B45" s="6">
        <v>46105</v>
      </c>
      <c r="C45" s="3" t="s">
        <v>119</v>
      </c>
      <c r="D45" s="43" t="s">
        <v>47</v>
      </c>
      <c r="E45" s="3" t="str">
        <f>IF(tblPurchases[[#This Row],[Product ID]]="","",_xlfn.XLOOKUP(tblPurchases[[#This Row],[Product ID]],tblProducts[Product ID],tblProducts[Product Name]))</f>
        <v>Study Table</v>
      </c>
      <c r="F45" s="46">
        <v>7</v>
      </c>
      <c r="G45" s="44">
        <f>IF(tblPurchases[[#This Row],[Product ID]] ="","",_xlfn.XLOOKUP(tblPurchases[[#This Row],[Product]],tblProducts[Product Name],tblProducts[Cost Price]))</f>
        <v>4200</v>
      </c>
      <c r="H45" s="44">
        <f>IF(tblPurchases[[#This Row],[Product ID]] ="","",tblPurchases[[#This Row],[Cost Price]]*tblPurchases[[#This Row],[Qty Purchased]])</f>
        <v>29400</v>
      </c>
    </row>
    <row r="46" spans="1:8" x14ac:dyDescent="0.35">
      <c r="A46" s="3" t="s">
        <v>373</v>
      </c>
      <c r="B46" s="6">
        <v>46107</v>
      </c>
      <c r="C46" s="3" t="s">
        <v>101</v>
      </c>
      <c r="D46" s="43" t="s">
        <v>66</v>
      </c>
      <c r="E46" s="3" t="str">
        <f>IF(tblPurchases[[#This Row],[Product ID]]="","",_xlfn.XLOOKUP(tblPurchases[[#This Row],[Product ID]],tblProducts[Product ID],tblProducts[Product Name]))</f>
        <v>Whiteboard Marker</v>
      </c>
      <c r="F46" s="46">
        <v>140</v>
      </c>
      <c r="G46" s="44">
        <f>IF(tblPurchases[[#This Row],[Product ID]] ="","",_xlfn.XLOOKUP(tblPurchases[[#This Row],[Product]],tblProducts[Product Name],tblProducts[Cost Price]))</f>
        <v>30</v>
      </c>
      <c r="H46" s="44">
        <f>IF(tblPurchases[[#This Row],[Product ID]] ="","",tblPurchases[[#This Row],[Cost Price]]*tblPurchases[[#This Row],[Qty Purchased]])</f>
        <v>4200</v>
      </c>
    </row>
    <row r="47" spans="1:8" x14ac:dyDescent="0.35">
      <c r="A47" s="3" t="s">
        <v>374</v>
      </c>
      <c r="B47" s="6">
        <v>46109</v>
      </c>
      <c r="C47" s="3" t="s">
        <v>136</v>
      </c>
      <c r="D47" s="43" t="s">
        <v>68</v>
      </c>
      <c r="E47" s="3" t="str">
        <f>IF(tblPurchases[[#This Row],[Product ID]]="","",_xlfn.XLOOKUP(tblPurchases[[#This Row],[Product ID]],tblProducts[Product ID],tblProducts[Product Name]))</f>
        <v>Calculator</v>
      </c>
      <c r="F47" s="46">
        <v>40</v>
      </c>
      <c r="G47" s="44">
        <f>IF(tblPurchases[[#This Row],[Product ID]] ="","",_xlfn.XLOOKUP(tblPurchases[[#This Row],[Product]],tblProducts[Product Name],tblProducts[Cost Price]))</f>
        <v>350</v>
      </c>
      <c r="H47" s="44">
        <f>IF(tblPurchases[[#This Row],[Product ID]] ="","",tblPurchases[[#This Row],[Cost Price]]*tblPurchases[[#This Row],[Qty Purchased]])</f>
        <v>14000</v>
      </c>
    </row>
    <row r="48" spans="1:8" x14ac:dyDescent="0.35">
      <c r="A48" s="3" t="s">
        <v>375</v>
      </c>
      <c r="B48" s="6">
        <v>46111</v>
      </c>
      <c r="C48" s="3" t="s">
        <v>142</v>
      </c>
      <c r="D48" s="43" t="s">
        <v>55</v>
      </c>
      <c r="E48" s="3" t="str">
        <f>IF(tblPurchases[[#This Row],[Product ID]]="","",_xlfn.XLOOKUP(tblPurchases[[#This Row],[Product ID]],tblProducts[Product ID],tblProducts[Product Name]))</f>
        <v>Water Bottle 1L</v>
      </c>
      <c r="F48" s="46">
        <v>80</v>
      </c>
      <c r="G48" s="44">
        <f>IF(tblPurchases[[#This Row],[Product ID]] ="","",_xlfn.XLOOKUP(tblPurchases[[#This Row],[Product]],tblProducts[Product Name],tblProducts[Cost Price]))</f>
        <v>120</v>
      </c>
      <c r="H48" s="44">
        <f>IF(tblPurchases[[#This Row],[Product ID]] ="","",tblPurchases[[#This Row],[Cost Price]]*tblPurchases[[#This Row],[Qty Purchased]])</f>
        <v>9600</v>
      </c>
    </row>
    <row r="49" spans="1:8" x14ac:dyDescent="0.35">
      <c r="A49" s="3" t="s">
        <v>376</v>
      </c>
      <c r="B49" s="6">
        <v>46114</v>
      </c>
      <c r="C49" s="3" t="s">
        <v>89</v>
      </c>
      <c r="D49" s="43" t="s">
        <v>51</v>
      </c>
      <c r="E49" s="3" t="str">
        <f>IF(tblPurchases[[#This Row],[Product ID]]="","",_xlfn.XLOOKUP(tblPurchases[[#This Row],[Product ID]],tblProducts[Product ID],tblProducts[Product Name]))</f>
        <v>LED Desk Lamp</v>
      </c>
      <c r="F49" s="46">
        <v>30</v>
      </c>
      <c r="G49" s="44">
        <f>IF(tblPurchases[[#This Row],[Product ID]] ="","",_xlfn.XLOOKUP(tblPurchases[[#This Row],[Product]],tblProducts[Product Name],tblProducts[Cost Price]))</f>
        <v>650</v>
      </c>
      <c r="H49" s="44">
        <f>IF(tblPurchases[[#This Row],[Product ID]] ="","",tblPurchases[[#This Row],[Cost Price]]*tblPurchases[[#This Row],[Qty Purchased]])</f>
        <v>19500</v>
      </c>
    </row>
    <row r="50" spans="1:8" x14ac:dyDescent="0.35">
      <c r="A50" s="3" t="s">
        <v>377</v>
      </c>
      <c r="B50" s="6">
        <v>46116</v>
      </c>
      <c r="C50" s="3" t="s">
        <v>95</v>
      </c>
      <c r="D50" s="43" t="s">
        <v>28</v>
      </c>
      <c r="E50" s="3" t="str">
        <f>IF(tblPurchases[[#This Row],[Product ID]]="","",_xlfn.XLOOKUP(tblPurchases[[#This Row],[Product ID]],tblProducts[Product ID],tblProducts[Product Name]))</f>
        <v>External Hard Drive 1TB</v>
      </c>
      <c r="F50" s="46">
        <v>10</v>
      </c>
      <c r="G50" s="44">
        <f>IF(tblPurchases[[#This Row],[Product ID]] ="","",_xlfn.XLOOKUP(tblPurchases[[#This Row],[Product]],tblProducts[Product Name],tblProducts[Cost Price]))</f>
        <v>3200</v>
      </c>
      <c r="H50" s="44">
        <f>IF(tblPurchases[[#This Row],[Product ID]] ="","",tblPurchases[[#This Row],[Cost Price]]*tblPurchases[[#This Row],[Qty Purchased]])</f>
        <v>32000</v>
      </c>
    </row>
    <row r="51" spans="1:8" x14ac:dyDescent="0.35">
      <c r="A51" s="3" t="s">
        <v>378</v>
      </c>
      <c r="B51" s="6">
        <v>46118</v>
      </c>
      <c r="C51" s="3" t="s">
        <v>77</v>
      </c>
      <c r="D51" s="43" t="s">
        <v>60</v>
      </c>
      <c r="E51" s="3" t="str">
        <f>IF(tblPurchases[[#This Row],[Product ID]]="","",_xlfn.XLOOKUP(tblPurchases[[#This Row],[Product ID]],tblProducts[Product ID],tblProducts[Product Name]))</f>
        <v>Mobile Stand</v>
      </c>
      <c r="F51" s="46">
        <v>60</v>
      </c>
      <c r="G51" s="44">
        <f>IF(tblPurchases[[#This Row],[Product ID]] ="","",_xlfn.XLOOKUP(tblPurchases[[#This Row],[Product]],tblProducts[Product Name],tblProducts[Cost Price]))</f>
        <v>90</v>
      </c>
      <c r="H51" s="44">
        <f>IF(tblPurchases[[#This Row],[Product ID]] ="","",tblPurchases[[#This Row],[Cost Price]]*tblPurchases[[#This Row],[Qty Purchased]])</f>
        <v>5400</v>
      </c>
    </row>
    <row r="52" spans="1:8" x14ac:dyDescent="0.35">
      <c r="A52" s="3" t="s">
        <v>379</v>
      </c>
      <c r="B52" s="6">
        <v>46120</v>
      </c>
      <c r="C52" s="3" t="s">
        <v>83</v>
      </c>
      <c r="D52" s="43" t="s">
        <v>37</v>
      </c>
      <c r="E52" s="3" t="str">
        <f>IF(tblPurchases[[#This Row],[Product ID]]="","",_xlfn.XLOOKUP(tblPurchases[[#This Row],[Product ID]],tblProducts[Product ID],tblProducts[Product Name]))</f>
        <v>Stapler</v>
      </c>
      <c r="F52" s="46">
        <v>45</v>
      </c>
      <c r="G52" s="44">
        <f>IF(tblPurchases[[#This Row],[Product ID]] ="","",_xlfn.XLOOKUP(tblPurchases[[#This Row],[Product]],tblProducts[Product Name],tblProducts[Cost Price]))</f>
        <v>110</v>
      </c>
      <c r="H52" s="44">
        <f>IF(tblPurchases[[#This Row],[Product ID]] ="","",tblPurchases[[#This Row],[Cost Price]]*tblPurchases[[#This Row],[Qty Purchased]])</f>
        <v>4950</v>
      </c>
    </row>
    <row r="53" spans="1:8" x14ac:dyDescent="0.35">
      <c r="A53" s="3" t="s">
        <v>380</v>
      </c>
      <c r="B53" s="6">
        <v>46122</v>
      </c>
      <c r="C53" s="3" t="s">
        <v>113</v>
      </c>
      <c r="D53" s="43" t="s">
        <v>24</v>
      </c>
      <c r="E53" s="3" t="str">
        <f>IF(tblPurchases[[#This Row],[Product ID]]="","",_xlfn.XLOOKUP(tblPurchases[[#This Row],[Product ID]],tblProducts[Product ID],tblProducts[Product Name]))</f>
        <v>Wireless Keyboard</v>
      </c>
      <c r="F53" s="46">
        <v>25</v>
      </c>
      <c r="G53" s="44">
        <f>IF(tblPurchases[[#This Row],[Product ID]] ="","",_xlfn.XLOOKUP(tblPurchases[[#This Row],[Product]],tblProducts[Product Name],tblProducts[Cost Price]))</f>
        <v>900</v>
      </c>
      <c r="H53" s="44">
        <f>IF(tblPurchases[[#This Row],[Product ID]] ="","",tblPurchases[[#This Row],[Cost Price]]*tblPurchases[[#This Row],[Qty Purchased]])</f>
        <v>22500</v>
      </c>
    </row>
    <row r="54" spans="1:8" x14ac:dyDescent="0.35">
      <c r="A54" s="3" t="s">
        <v>381</v>
      </c>
      <c r="B54" s="6">
        <v>46124</v>
      </c>
      <c r="C54" s="3" t="s">
        <v>119</v>
      </c>
      <c r="D54" s="43" t="s">
        <v>49</v>
      </c>
      <c r="E54" s="3" t="str">
        <f>IF(tblPurchases[[#This Row],[Product ID]]="","",_xlfn.XLOOKUP(tblPurchases[[#This Row],[Product ID]],tblProducts[Product ID],tblProducts[Product Name]))</f>
        <v>Bookshelf</v>
      </c>
      <c r="F54" s="46">
        <v>6</v>
      </c>
      <c r="G54" s="44">
        <f>IF(tblPurchases[[#This Row],[Product ID]] ="","",_xlfn.XLOOKUP(tblPurchases[[#This Row],[Product]],tblProducts[Product Name],tblProducts[Cost Price]))</f>
        <v>2800</v>
      </c>
      <c r="H54" s="44">
        <f>IF(tblPurchases[[#This Row],[Product ID]] ="","",tblPurchases[[#This Row],[Cost Price]]*tblPurchases[[#This Row],[Qty Purchased]])</f>
        <v>16800</v>
      </c>
    </row>
    <row r="55" spans="1:8" x14ac:dyDescent="0.35">
      <c r="A55" s="3" t="s">
        <v>382</v>
      </c>
      <c r="B55" s="6">
        <v>46126</v>
      </c>
      <c r="C55" s="3" t="s">
        <v>101</v>
      </c>
      <c r="D55" s="43" t="s">
        <v>53</v>
      </c>
      <c r="E55" s="3" t="str">
        <f>IF(tblPurchases[[#This Row],[Product ID]]="","",_xlfn.XLOOKUP(tblPurchases[[#This Row],[Product ID]],tblProducts[Product ID],tblProducts[Product Name]))</f>
        <v>Storage Cabinet</v>
      </c>
      <c r="F55" s="46">
        <v>5</v>
      </c>
      <c r="G55" s="44">
        <f>IF(tblPurchases[[#This Row],[Product ID]] ="","",_xlfn.XLOOKUP(tblPurchases[[#This Row],[Product]],tblProducts[Product Name],tblProducts[Cost Price]))</f>
        <v>5800</v>
      </c>
      <c r="H55" s="44">
        <f>IF(tblPurchases[[#This Row],[Product ID]] ="","",tblPurchases[[#This Row],[Cost Price]]*tblPurchases[[#This Row],[Qty Purchased]])</f>
        <v>29000</v>
      </c>
    </row>
    <row r="56" spans="1:8" x14ac:dyDescent="0.35">
      <c r="A56" s="3" t="s">
        <v>383</v>
      </c>
      <c r="B56" s="6">
        <v>46128</v>
      </c>
      <c r="C56" s="3" t="s">
        <v>136</v>
      </c>
      <c r="D56" s="43" t="s">
        <v>74</v>
      </c>
      <c r="E56" s="3" t="str">
        <f>IF(tblPurchases[[#This Row],[Product ID]]="","",_xlfn.XLOOKUP(tblPurchases[[#This Row],[Product ID]],tblProducts[Product ID],tblProducts[Product Name]))</f>
        <v>Desk Organizer</v>
      </c>
      <c r="F56" s="46">
        <v>40</v>
      </c>
      <c r="G56" s="44">
        <f>IF(tblPurchases[[#This Row],[Product ID]] ="","",_xlfn.XLOOKUP(tblPurchases[[#This Row],[Product]],tblProducts[Product Name],tblProducts[Cost Price]))</f>
        <v>220</v>
      </c>
      <c r="H56" s="44">
        <f>IF(tblPurchases[[#This Row],[Product ID]] ="","",tblPurchases[[#This Row],[Cost Price]]*tblPurchases[[#This Row],[Qty Purchased]])</f>
        <v>8800</v>
      </c>
    </row>
    <row r="57" spans="1:8" x14ac:dyDescent="0.35">
      <c r="A57" s="3" t="s">
        <v>384</v>
      </c>
      <c r="B57" s="6">
        <v>46130</v>
      </c>
      <c r="C57" s="3" t="s">
        <v>142</v>
      </c>
      <c r="D57" s="43" t="s">
        <v>20</v>
      </c>
      <c r="E57" s="3" t="str">
        <f>IF(tblPurchases[[#This Row],[Product ID]]="","",_xlfn.XLOOKUP(tblPurchases[[#This Row],[Product ID]],tblProducts[Product ID],tblProducts[Product Name]))</f>
        <v>Wireless Mouse</v>
      </c>
      <c r="F57" s="46">
        <v>55</v>
      </c>
      <c r="G57" s="44">
        <f>IF(tblPurchases[[#This Row],[Product ID]] ="","",_xlfn.XLOOKUP(tblPurchases[[#This Row],[Product]],tblProducts[Product Name],tblProducts[Cost Price]))</f>
        <v>450</v>
      </c>
      <c r="H57" s="44">
        <f>IF(tblPurchases[[#This Row],[Product ID]] ="","",tblPurchases[[#This Row],[Cost Price]]*tblPurchases[[#This Row],[Qty Purchased]])</f>
        <v>24750</v>
      </c>
    </row>
    <row r="58" spans="1:8" x14ac:dyDescent="0.35">
      <c r="A58" s="3" t="s">
        <v>385</v>
      </c>
      <c r="B58" s="6">
        <v>46132</v>
      </c>
      <c r="C58" s="3" t="s">
        <v>89</v>
      </c>
      <c r="D58" s="43" t="s">
        <v>26</v>
      </c>
      <c r="E58" s="3" t="str">
        <f>IF(tblPurchases[[#This Row],[Product ID]]="","",_xlfn.XLOOKUP(tblPurchases[[#This Row],[Product ID]],tblProducts[Product ID],tblProducts[Product Name]))</f>
        <v>USB Flash Drive 32GB</v>
      </c>
      <c r="F58" s="46">
        <v>70</v>
      </c>
      <c r="G58" s="44">
        <f>IF(tblPurchases[[#This Row],[Product ID]] ="","",_xlfn.XLOOKUP(tblPurchases[[#This Row],[Product]],tblProducts[Product Name],tblProducts[Cost Price]))</f>
        <v>350</v>
      </c>
      <c r="H58" s="44">
        <f>IF(tblPurchases[[#This Row],[Product ID]] ="","",tblPurchases[[#This Row],[Cost Price]]*tblPurchases[[#This Row],[Qty Purchased]])</f>
        <v>24500</v>
      </c>
    </row>
    <row r="59" spans="1:8" x14ac:dyDescent="0.35">
      <c r="A59" s="3" t="s">
        <v>386</v>
      </c>
      <c r="B59" s="6">
        <v>46134</v>
      </c>
      <c r="C59" s="3" t="s">
        <v>95</v>
      </c>
      <c r="D59" s="43" t="s">
        <v>64</v>
      </c>
      <c r="E59" s="3" t="str">
        <f>IF(tblPurchases[[#This Row],[Product ID]]="","",_xlfn.XLOOKUP(tblPurchases[[#This Row],[Product ID]],tblProducts[Product ID],tblProducts[Product Name]))</f>
        <v>Bluetooth Speaker</v>
      </c>
      <c r="F59" s="46">
        <v>15</v>
      </c>
      <c r="G59" s="44">
        <f>IF(tblPurchases[[#This Row],[Product ID]] ="","",_xlfn.XLOOKUP(tblPurchases[[#This Row],[Product]],tblProducts[Product Name],tblProducts[Cost Price]))</f>
        <v>1100</v>
      </c>
      <c r="H59" s="44">
        <f>IF(tblPurchases[[#This Row],[Product ID]] ="","",tblPurchases[[#This Row],[Cost Price]]*tblPurchases[[#This Row],[Qty Purchased]])</f>
        <v>16500</v>
      </c>
    </row>
    <row r="60" spans="1:8" x14ac:dyDescent="0.35">
      <c r="A60" s="3" t="s">
        <v>387</v>
      </c>
      <c r="B60" s="6">
        <v>46136</v>
      </c>
      <c r="C60" s="3" t="s">
        <v>83</v>
      </c>
      <c r="D60" s="43" t="s">
        <v>39</v>
      </c>
      <c r="E60" s="3" t="str">
        <f>IF(tblPurchases[[#This Row],[Product ID]]="","",_xlfn.XLOOKUP(tblPurchases[[#This Row],[Product ID]],tblProducts[Product ID],tblProducts[Product Name]))</f>
        <v>Printer Paper (500 Sheets)</v>
      </c>
      <c r="F60" s="46">
        <v>50</v>
      </c>
      <c r="G60" s="44">
        <f>IF(tblPurchases[[#This Row],[Product ID]] ="","",_xlfn.XLOOKUP(tblPurchases[[#This Row],[Product]],tblProducts[Product Name],tblProducts[Cost Price]))</f>
        <v>220</v>
      </c>
      <c r="H60" s="44">
        <f>IF(tblPurchases[[#This Row],[Product ID]] ="","",tblPurchases[[#This Row],[Cost Price]]*tblPurchases[[#This Row],[Qty Purchased]])</f>
        <v>11000</v>
      </c>
    </row>
    <row r="61" spans="1:8" x14ac:dyDescent="0.35">
      <c r="A61" s="3" t="s">
        <v>388</v>
      </c>
      <c r="B61" s="6">
        <v>46138</v>
      </c>
      <c r="C61" s="3" t="s">
        <v>113</v>
      </c>
      <c r="D61" s="43" t="s">
        <v>35</v>
      </c>
      <c r="E61" s="3" t="str">
        <f>IF(tblPurchases[[#This Row],[Product ID]]="","",_xlfn.XLOOKUP(tblPurchases[[#This Row],[Product ID]],tblProducts[Product ID],tblProducts[Product Name]))</f>
        <v>Ball Pen</v>
      </c>
      <c r="F61" s="46">
        <v>180</v>
      </c>
      <c r="G61" s="44">
        <f>IF(tblPurchases[[#This Row],[Product ID]] ="","",_xlfn.XLOOKUP(tblPurchases[[#This Row],[Product]],tblProducts[Product Name],tblProducts[Cost Price]))</f>
        <v>12</v>
      </c>
      <c r="H61" s="44">
        <f>IF(tblPurchases[[#This Row],[Product ID]] ="","",tblPurchases[[#This Row],[Cost Price]]*tblPurchases[[#This Row],[Qty Purchased]])</f>
        <v>2160</v>
      </c>
    </row>
  </sheetData>
  <phoneticPr fontId="3"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63580C20-48D7-436E-A8BC-B4DBB9784238}">
          <x14:formula1>
            <xm:f>Suppliers!$B$2:$B$13</xm:f>
          </x14:formula1>
          <xm:sqref>C2:C61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813DF-A179-49B1-BEED-F3D0B7CA9D64}">
  <dimension ref="A1:H121"/>
  <sheetViews>
    <sheetView workbookViewId="0">
      <pane ySplit="1" topLeftCell="A2" activePane="bottomLeft" state="frozen"/>
      <selection pane="bottomLeft" activeCell="D105" sqref="D105"/>
    </sheetView>
  </sheetViews>
  <sheetFormatPr defaultRowHeight="14.5" x14ac:dyDescent="0.35"/>
  <cols>
    <col min="1" max="1" width="14.90625" customWidth="1"/>
    <col min="2" max="2" width="15.453125" customWidth="1"/>
    <col min="3" max="3" width="20.36328125" customWidth="1"/>
    <col min="4" max="4" width="20.7265625" bestFit="1" customWidth="1"/>
    <col min="5" max="5" width="20.7265625" customWidth="1"/>
    <col min="6" max="6" width="13.90625" customWidth="1"/>
    <col min="7" max="7" width="17.453125" customWidth="1"/>
    <col min="8" max="8" width="16.81640625" customWidth="1"/>
  </cols>
  <sheetData>
    <row r="1" spans="1:8" ht="18.5" customHeight="1" x14ac:dyDescent="0.35">
      <c r="A1" s="1" t="s">
        <v>209</v>
      </c>
      <c r="B1" s="1" t="s">
        <v>15</v>
      </c>
      <c r="C1" s="1" t="s">
        <v>147</v>
      </c>
      <c r="D1" s="1" t="s">
        <v>0</v>
      </c>
      <c r="E1" s="1" t="s">
        <v>1</v>
      </c>
      <c r="F1" s="1" t="s">
        <v>148</v>
      </c>
      <c r="G1" s="1" t="s">
        <v>5</v>
      </c>
      <c r="H1" s="1" t="s">
        <v>149</v>
      </c>
    </row>
    <row r="2" spans="1:8" x14ac:dyDescent="0.35">
      <c r="A2" s="3" t="s">
        <v>210</v>
      </c>
      <c r="B2" s="6">
        <v>46027</v>
      </c>
      <c r="C2" s="3" t="s">
        <v>153</v>
      </c>
      <c r="D2" s="3" t="s">
        <v>20</v>
      </c>
      <c r="E2" s="3" t="str">
        <f>IF(tblSales[[#This Row],[Product ID]]="","",(_xlfn.XLOOKUP(tblSales[[#This Row],[Product ID]],tblProducts[Product ID],tblProducts[Product Name])))</f>
        <v>Wireless Mouse</v>
      </c>
      <c r="F2" s="4">
        <v>15</v>
      </c>
      <c r="G2">
        <f>IF(tblSales[[#This Row],[Product ID]]="","",_xlfn.XLOOKUP(tblSales[[#This Row],[Product ID]],tblProducts[Product ID],tblProducts[Selling Price]))</f>
        <v>650</v>
      </c>
      <c r="H2">
        <f>IF(tblSales[[#This Row],[Product ID]]="","",tblSales[[#This Row],[Selling Price]]*tblSales[[#This Row],[Qty Sold]])</f>
        <v>9750</v>
      </c>
    </row>
    <row r="3" spans="1:8" x14ac:dyDescent="0.35">
      <c r="A3" s="3" t="s">
        <v>211</v>
      </c>
      <c r="B3" s="6">
        <v>46028</v>
      </c>
      <c r="C3" s="3" t="s">
        <v>155</v>
      </c>
      <c r="D3" s="3" t="s">
        <v>32</v>
      </c>
      <c r="E3" s="3" t="str">
        <f>IF(tblSales[[#This Row],[Product ID]]="","",(_xlfn.XLOOKUP(tblSales[[#This Row],[Product ID]],tblProducts[Product ID],tblProducts[Product Name])))</f>
        <v>Notebook A5</v>
      </c>
      <c r="F3" s="4">
        <v>40</v>
      </c>
      <c r="G3">
        <f>IF(tblSales[[#This Row],[Product ID]]="","",_xlfn.XLOOKUP(tblSales[[#This Row],[Product ID]],tblProducts[Product ID],tblProducts[Selling Price]))</f>
        <v>80</v>
      </c>
      <c r="H3">
        <f>IF(tblSales[[#This Row],[Product ID]]="","",tblSales[[#This Row],[Selling Price]]*tblSales[[#This Row],[Qty Sold]])</f>
        <v>3200</v>
      </c>
    </row>
    <row r="4" spans="1:8" x14ac:dyDescent="0.35">
      <c r="A4" s="3" t="s">
        <v>212</v>
      </c>
      <c r="B4" s="6">
        <v>46029</v>
      </c>
      <c r="C4" s="3" t="s">
        <v>157</v>
      </c>
      <c r="D4" s="3" t="s">
        <v>35</v>
      </c>
      <c r="E4" s="3" t="str">
        <f>IF(tblSales[[#This Row],[Product ID]]="","",(_xlfn.XLOOKUP(tblSales[[#This Row],[Product ID]],tblProducts[Product ID],tblProducts[Product Name])))</f>
        <v>Ball Pen</v>
      </c>
      <c r="F4" s="4">
        <v>70</v>
      </c>
      <c r="G4">
        <f>IF(tblSales[[#This Row],[Product ID]]="","",_xlfn.XLOOKUP(tblSales[[#This Row],[Product ID]],tblProducts[Product ID],tblProducts[Selling Price]))</f>
        <v>25</v>
      </c>
      <c r="H4">
        <f>IF(tblSales[[#This Row],[Product ID]]="","",tblSales[[#This Row],[Selling Price]]*tblSales[[#This Row],[Qty Sold]])</f>
        <v>1750</v>
      </c>
    </row>
    <row r="5" spans="1:8" x14ac:dyDescent="0.35">
      <c r="A5" s="3" t="s">
        <v>213</v>
      </c>
      <c r="B5" s="6">
        <v>46030</v>
      </c>
      <c r="C5" s="3" t="s">
        <v>159</v>
      </c>
      <c r="D5" s="3" t="s">
        <v>30</v>
      </c>
      <c r="E5" s="3" t="str">
        <f>IF(tblSales[[#This Row],[Product ID]]="","",(_xlfn.XLOOKUP(tblSales[[#This Row],[Product ID]],tblProducts[Product ID],tblProducts[Product Name])))</f>
        <v>HDMI Cable</v>
      </c>
      <c r="F5" s="4">
        <v>20</v>
      </c>
      <c r="G5">
        <f>IF(tblSales[[#This Row],[Product ID]]="","",_xlfn.XLOOKUP(tblSales[[#This Row],[Product ID]],tblProducts[Product ID],tblProducts[Selling Price]))</f>
        <v>350</v>
      </c>
      <c r="H5">
        <f>IF(tblSales[[#This Row],[Product ID]]="","",tblSales[[#This Row],[Selling Price]]*tblSales[[#This Row],[Qty Sold]])</f>
        <v>7000</v>
      </c>
    </row>
    <row r="6" spans="1:8" x14ac:dyDescent="0.35">
      <c r="A6" s="3" t="s">
        <v>214</v>
      </c>
      <c r="B6" s="6">
        <v>46031</v>
      </c>
      <c r="C6" s="3" t="s">
        <v>161</v>
      </c>
      <c r="D6" s="3" t="s">
        <v>24</v>
      </c>
      <c r="E6" s="3" t="str">
        <f>IF(tblSales[[#This Row],[Product ID]]="","",(_xlfn.XLOOKUP(tblSales[[#This Row],[Product ID]],tblProducts[Product ID],tblProducts[Product Name])))</f>
        <v>Wireless Keyboard</v>
      </c>
      <c r="F6" s="4">
        <v>10</v>
      </c>
      <c r="G6">
        <f>IF(tblSales[[#This Row],[Product ID]]="","",_xlfn.XLOOKUP(tblSales[[#This Row],[Product ID]],tblProducts[Product ID],tblProducts[Selling Price]))</f>
        <v>1300</v>
      </c>
      <c r="H6">
        <f>IF(tblSales[[#This Row],[Product ID]]="","",tblSales[[#This Row],[Selling Price]]*tblSales[[#This Row],[Qty Sold]])</f>
        <v>13000</v>
      </c>
    </row>
    <row r="7" spans="1:8" x14ac:dyDescent="0.35">
      <c r="A7" s="3" t="s">
        <v>215</v>
      </c>
      <c r="B7" s="6">
        <v>46032</v>
      </c>
      <c r="C7" s="3" t="s">
        <v>163</v>
      </c>
      <c r="D7" s="3" t="s">
        <v>26</v>
      </c>
      <c r="E7" s="3" t="str">
        <f>IF(tblSales[[#This Row],[Product ID]]="","",(_xlfn.XLOOKUP(tblSales[[#This Row],[Product ID]],tblProducts[Product ID],tblProducts[Product Name])))</f>
        <v>USB Flash Drive 32GB</v>
      </c>
      <c r="F7" s="4">
        <v>25</v>
      </c>
      <c r="G7">
        <f>IF(tblSales[[#This Row],[Product ID]]="","",_xlfn.XLOOKUP(tblSales[[#This Row],[Product ID]],tblProducts[Product ID],tblProducts[Selling Price]))</f>
        <v>550</v>
      </c>
      <c r="H7">
        <f>IF(tblSales[[#This Row],[Product ID]]="","",tblSales[[#This Row],[Selling Price]]*tblSales[[#This Row],[Qty Sold]])</f>
        <v>13750</v>
      </c>
    </row>
    <row r="8" spans="1:8" x14ac:dyDescent="0.35">
      <c r="A8" s="3" t="s">
        <v>216</v>
      </c>
      <c r="B8" s="6">
        <v>46033</v>
      </c>
      <c r="C8" s="3" t="s">
        <v>165</v>
      </c>
      <c r="D8" s="3" t="s">
        <v>44</v>
      </c>
      <c r="E8" s="3" t="str">
        <f>IF(tblSales[[#This Row],[Product ID]]="","",(_xlfn.XLOOKUP(tblSales[[#This Row],[Product ID]],tblProducts[Product ID],tblProducts[Product Name])))</f>
        <v>Office Chair</v>
      </c>
      <c r="F8" s="4">
        <v>3</v>
      </c>
      <c r="G8">
        <f>IF(tblSales[[#This Row],[Product ID]]="","",_xlfn.XLOOKUP(tblSales[[#This Row],[Product ID]],tblProducts[Product ID],tblProducts[Selling Price]))</f>
        <v>5000</v>
      </c>
      <c r="H8">
        <f>IF(tblSales[[#This Row],[Product ID]]="","",tblSales[[#This Row],[Selling Price]]*tblSales[[#This Row],[Qty Sold]])</f>
        <v>15000</v>
      </c>
    </row>
    <row r="9" spans="1:8" x14ac:dyDescent="0.35">
      <c r="A9" s="3" t="s">
        <v>217</v>
      </c>
      <c r="B9" s="6">
        <v>46034</v>
      </c>
      <c r="C9" s="3" t="s">
        <v>167</v>
      </c>
      <c r="D9" s="3" t="s">
        <v>58</v>
      </c>
      <c r="E9" s="3" t="str">
        <f>IF(tblSales[[#This Row],[Product ID]]="","",(_xlfn.XLOOKUP(tblSales[[#This Row],[Product ID]],tblProducts[Product ID],tblProducts[Product Name])))</f>
        <v>Laptop Backpack</v>
      </c>
      <c r="F9" s="4">
        <v>8</v>
      </c>
      <c r="G9">
        <f>IF(tblSales[[#This Row],[Product ID]]="","",_xlfn.XLOOKUP(tblSales[[#This Row],[Product ID]],tblProducts[Product ID],tblProducts[Selling Price]))</f>
        <v>1300</v>
      </c>
      <c r="H9">
        <f>IF(tblSales[[#This Row],[Product ID]]="","",tblSales[[#This Row],[Selling Price]]*tblSales[[#This Row],[Qty Sold]])</f>
        <v>10400</v>
      </c>
    </row>
    <row r="10" spans="1:8" x14ac:dyDescent="0.35">
      <c r="A10" s="3" t="s">
        <v>218</v>
      </c>
      <c r="B10" s="6">
        <v>46035</v>
      </c>
      <c r="C10" s="3" t="s">
        <v>169</v>
      </c>
      <c r="D10" s="3" t="s">
        <v>64</v>
      </c>
      <c r="E10" s="3" t="str">
        <f>IF(tblSales[[#This Row],[Product ID]]="","",(_xlfn.XLOOKUP(tblSales[[#This Row],[Product ID]],tblProducts[Product ID],tblProducts[Product Name])))</f>
        <v>Bluetooth Speaker</v>
      </c>
      <c r="F10" s="4">
        <v>5</v>
      </c>
      <c r="G10">
        <f>IF(tblSales[[#This Row],[Product ID]]="","",_xlfn.XLOOKUP(tblSales[[#This Row],[Product ID]],tblProducts[Product ID],tblProducts[Selling Price]))</f>
        <v>1700</v>
      </c>
      <c r="H10">
        <f>IF(tblSales[[#This Row],[Product ID]]="","",tblSales[[#This Row],[Selling Price]]*tblSales[[#This Row],[Qty Sold]])</f>
        <v>8500</v>
      </c>
    </row>
    <row r="11" spans="1:8" x14ac:dyDescent="0.35">
      <c r="A11" s="3" t="s">
        <v>219</v>
      </c>
      <c r="B11" s="6">
        <v>46037</v>
      </c>
      <c r="C11" s="3" t="s">
        <v>171</v>
      </c>
      <c r="D11" s="3" t="s">
        <v>55</v>
      </c>
      <c r="E11" s="3" t="str">
        <f>IF(tblSales[[#This Row],[Product ID]]="","",(_xlfn.XLOOKUP(tblSales[[#This Row],[Product ID]],tblProducts[Product ID],tblProducts[Product Name])))</f>
        <v>Water Bottle 1L</v>
      </c>
      <c r="F11" s="4">
        <v>30</v>
      </c>
      <c r="G11">
        <f>IF(tblSales[[#This Row],[Product ID]]="","",_xlfn.XLOOKUP(tblSales[[#This Row],[Product ID]],tblProducts[Product ID],tblProducts[Selling Price]))</f>
        <v>220</v>
      </c>
      <c r="H11">
        <f>IF(tblSales[[#This Row],[Product ID]]="","",tblSales[[#This Row],[Selling Price]]*tblSales[[#This Row],[Qty Sold]])</f>
        <v>6600</v>
      </c>
    </row>
    <row r="12" spans="1:8" x14ac:dyDescent="0.35">
      <c r="A12" s="3" t="s">
        <v>220</v>
      </c>
      <c r="B12" s="6">
        <v>46039</v>
      </c>
      <c r="C12" s="3" t="s">
        <v>153</v>
      </c>
      <c r="D12" s="3" t="s">
        <v>70</v>
      </c>
      <c r="E12" s="3" t="str">
        <f>IF(tblSales[[#This Row],[Product ID]]="","",(_xlfn.XLOOKUP(tblSales[[#This Row],[Product ID]],tblProducts[Product ID],tblProducts[Product Name])))</f>
        <v>Extension Board</v>
      </c>
      <c r="F12" s="4">
        <v>15</v>
      </c>
      <c r="G12">
        <f>IF(tblSales[[#This Row],[Product ID]]="","",_xlfn.XLOOKUP(tblSales[[#This Row],[Product ID]],tblProducts[Product ID],tblProducts[Selling Price]))</f>
        <v>450</v>
      </c>
      <c r="H12">
        <f>IF(tblSales[[#This Row],[Product ID]]="","",tblSales[[#This Row],[Selling Price]]*tblSales[[#This Row],[Qty Sold]])</f>
        <v>6750</v>
      </c>
    </row>
    <row r="13" spans="1:8" x14ac:dyDescent="0.35">
      <c r="A13" s="3" t="s">
        <v>221</v>
      </c>
      <c r="B13" s="6">
        <v>46040</v>
      </c>
      <c r="C13" s="3" t="s">
        <v>155</v>
      </c>
      <c r="D13" s="3" t="s">
        <v>66</v>
      </c>
      <c r="E13" s="3" t="str">
        <f>IF(tblSales[[#This Row],[Product ID]]="","",(_xlfn.XLOOKUP(tblSales[[#This Row],[Product ID]],tblProducts[Product ID],tblProducts[Product Name])))</f>
        <v>Whiteboard Marker</v>
      </c>
      <c r="F13" s="4">
        <v>60</v>
      </c>
      <c r="G13">
        <f>IF(tblSales[[#This Row],[Product ID]]="","",_xlfn.XLOOKUP(tblSales[[#This Row],[Product ID]],tblProducts[Product ID],tblProducts[Selling Price]))</f>
        <v>55</v>
      </c>
      <c r="H13">
        <f>IF(tblSales[[#This Row],[Product ID]]="","",tblSales[[#This Row],[Selling Price]]*tblSales[[#This Row],[Qty Sold]])</f>
        <v>3300</v>
      </c>
    </row>
    <row r="14" spans="1:8" x14ac:dyDescent="0.35">
      <c r="A14" s="3" t="s">
        <v>222</v>
      </c>
      <c r="B14" s="6">
        <v>46042</v>
      </c>
      <c r="C14" s="3" t="s">
        <v>157</v>
      </c>
      <c r="D14" s="3" t="s">
        <v>37</v>
      </c>
      <c r="E14" s="3" t="str">
        <f>IF(tblSales[[#This Row],[Product ID]]="","",(_xlfn.XLOOKUP(tblSales[[#This Row],[Product ID]],tblProducts[Product ID],tblProducts[Product Name])))</f>
        <v>Stapler</v>
      </c>
      <c r="F14" s="4">
        <v>10</v>
      </c>
      <c r="G14">
        <f>IF(tblSales[[#This Row],[Product ID]]="","",_xlfn.XLOOKUP(tblSales[[#This Row],[Product ID]],tblProducts[Product ID],tblProducts[Selling Price]))</f>
        <v>180</v>
      </c>
      <c r="H14">
        <f>IF(tblSales[[#This Row],[Product ID]]="","",tblSales[[#This Row],[Selling Price]]*tblSales[[#This Row],[Qty Sold]])</f>
        <v>1800</v>
      </c>
    </row>
    <row r="15" spans="1:8" x14ac:dyDescent="0.35">
      <c r="A15" s="3" t="s">
        <v>223</v>
      </c>
      <c r="B15" s="6">
        <v>46044</v>
      </c>
      <c r="C15" s="3" t="s">
        <v>159</v>
      </c>
      <c r="D15" s="3" t="s">
        <v>51</v>
      </c>
      <c r="E15" s="3" t="str">
        <f>IF(tblSales[[#This Row],[Product ID]]="","",(_xlfn.XLOOKUP(tblSales[[#This Row],[Product ID]],tblProducts[Product ID],tblProducts[Product Name])))</f>
        <v>LED Desk Lamp</v>
      </c>
      <c r="F15" s="4">
        <v>8</v>
      </c>
      <c r="G15">
        <f>IF(tblSales[[#This Row],[Product ID]]="","",_xlfn.XLOOKUP(tblSales[[#This Row],[Product ID]],tblProducts[Product ID],tblProducts[Selling Price]))</f>
        <v>950</v>
      </c>
      <c r="H15">
        <f>IF(tblSales[[#This Row],[Product ID]]="","",tblSales[[#This Row],[Selling Price]]*tblSales[[#This Row],[Qty Sold]])</f>
        <v>7600</v>
      </c>
    </row>
    <row r="16" spans="1:8" x14ac:dyDescent="0.35">
      <c r="A16" s="3" t="s">
        <v>224</v>
      </c>
      <c r="B16" s="6">
        <v>46046</v>
      </c>
      <c r="C16" s="3" t="s">
        <v>161</v>
      </c>
      <c r="D16" s="3" t="s">
        <v>68</v>
      </c>
      <c r="E16" s="3" t="str">
        <f>IF(tblSales[[#This Row],[Product ID]]="","",(_xlfn.XLOOKUP(tblSales[[#This Row],[Product ID]],tblProducts[Product ID],tblProducts[Product Name])))</f>
        <v>Calculator</v>
      </c>
      <c r="F16" s="4">
        <v>12</v>
      </c>
      <c r="G16">
        <f>IF(tblSales[[#This Row],[Product ID]]="","",_xlfn.XLOOKUP(tblSales[[#This Row],[Product ID]],tblProducts[Product ID],tblProducts[Selling Price]))</f>
        <v>550</v>
      </c>
      <c r="H16">
        <f>IF(tblSales[[#This Row],[Product ID]]="","",tblSales[[#This Row],[Selling Price]]*tblSales[[#This Row],[Qty Sold]])</f>
        <v>6600</v>
      </c>
    </row>
    <row r="17" spans="1:8" x14ac:dyDescent="0.35">
      <c r="A17" s="3" t="s">
        <v>225</v>
      </c>
      <c r="B17" s="6">
        <v>46049</v>
      </c>
      <c r="C17" s="3" t="s">
        <v>163</v>
      </c>
      <c r="D17" s="3" t="s">
        <v>28</v>
      </c>
      <c r="E17" s="3" t="str">
        <f>IF(tblSales[[#This Row],[Product ID]]="","",(_xlfn.XLOOKUP(tblSales[[#This Row],[Product ID]],tblProducts[Product ID],tblProducts[Product Name])))</f>
        <v>External Hard Drive 1TB</v>
      </c>
      <c r="F17" s="4">
        <v>4</v>
      </c>
      <c r="G17">
        <f>IF(tblSales[[#This Row],[Product ID]]="","",_xlfn.XLOOKUP(tblSales[[#This Row],[Product ID]],tblProducts[Product ID],tblProducts[Selling Price]))</f>
        <v>4200</v>
      </c>
      <c r="H17">
        <f>IF(tblSales[[#This Row],[Product ID]]="","",tblSales[[#This Row],[Selling Price]]*tblSales[[#This Row],[Qty Sold]])</f>
        <v>16800</v>
      </c>
    </row>
    <row r="18" spans="1:8" x14ac:dyDescent="0.35">
      <c r="A18" s="3" t="s">
        <v>226</v>
      </c>
      <c r="B18" s="6">
        <v>46051</v>
      </c>
      <c r="C18" s="3" t="s">
        <v>165</v>
      </c>
      <c r="D18" s="3" t="s">
        <v>60</v>
      </c>
      <c r="E18" s="3" t="str">
        <f>IF(tblSales[[#This Row],[Product ID]]="","",(_xlfn.XLOOKUP(tblSales[[#This Row],[Product ID]],tblProducts[Product ID],tblProducts[Product Name])))</f>
        <v>Mobile Stand</v>
      </c>
      <c r="F18" s="4">
        <v>25</v>
      </c>
      <c r="G18">
        <f>IF(tblSales[[#This Row],[Product ID]]="","",_xlfn.XLOOKUP(tblSales[[#This Row],[Product ID]],tblProducts[Product ID],tblProducts[Selling Price]))</f>
        <v>180</v>
      </c>
      <c r="H18">
        <f>IF(tblSales[[#This Row],[Product ID]]="","",tblSales[[#This Row],[Selling Price]]*tblSales[[#This Row],[Qty Sold]])</f>
        <v>4500</v>
      </c>
    </row>
    <row r="19" spans="1:8" x14ac:dyDescent="0.35">
      <c r="A19" s="3" t="s">
        <v>227</v>
      </c>
      <c r="B19" s="6">
        <v>46053</v>
      </c>
      <c r="C19" s="3" t="s">
        <v>167</v>
      </c>
      <c r="D19" s="3" t="s">
        <v>62</v>
      </c>
      <c r="E19" s="3" t="str">
        <f>IF(tblSales[[#This Row],[Product ID]]="","",(_xlfn.XLOOKUP(tblSales[[#This Row],[Product ID]],tblProducts[Product ID],tblProducts[Product Name])))</f>
        <v>Power Bank 10000mAh</v>
      </c>
      <c r="F19" s="4">
        <v>10</v>
      </c>
      <c r="G19">
        <f>IF(tblSales[[#This Row],[Product ID]]="","",_xlfn.XLOOKUP(tblSales[[#This Row],[Product ID]],tblProducts[Product ID],tblProducts[Selling Price]))</f>
        <v>1450</v>
      </c>
      <c r="H19">
        <f>IF(tblSales[[#This Row],[Product ID]]="","",tblSales[[#This Row],[Selling Price]]*tblSales[[#This Row],[Qty Sold]])</f>
        <v>14500</v>
      </c>
    </row>
    <row r="20" spans="1:8" x14ac:dyDescent="0.35">
      <c r="A20" s="3" t="s">
        <v>228</v>
      </c>
      <c r="B20" s="6">
        <v>46055</v>
      </c>
      <c r="C20" s="3" t="s">
        <v>169</v>
      </c>
      <c r="D20" s="3" t="s">
        <v>72</v>
      </c>
      <c r="E20" s="3" t="str">
        <f>IF(tblSales[[#This Row],[Product ID]]="","",(_xlfn.XLOOKUP(tblSales[[#This Row],[Product ID]],tblProducts[Product ID],tblProducts[Product Name])))</f>
        <v>File Folder</v>
      </c>
      <c r="F20" s="4">
        <v>100</v>
      </c>
      <c r="G20">
        <f>IF(tblSales[[#This Row],[Product ID]]="","",_xlfn.XLOOKUP(tblSales[[#This Row],[Product ID]],tblProducts[Product ID],tblProducts[Selling Price]))</f>
        <v>35</v>
      </c>
      <c r="H20">
        <f>IF(tblSales[[#This Row],[Product ID]]="","",tblSales[[#This Row],[Selling Price]]*tblSales[[#This Row],[Qty Sold]])</f>
        <v>3500</v>
      </c>
    </row>
    <row r="21" spans="1:8" x14ac:dyDescent="0.35">
      <c r="A21" s="3" t="s">
        <v>229</v>
      </c>
      <c r="B21" s="6">
        <v>46057</v>
      </c>
      <c r="C21" s="3" t="s">
        <v>171</v>
      </c>
      <c r="D21" s="3" t="s">
        <v>39</v>
      </c>
      <c r="E21" s="3" t="str">
        <f>IF(tblSales[[#This Row],[Product ID]]="","",(_xlfn.XLOOKUP(tblSales[[#This Row],[Product ID]],tblProducts[Product ID],tblProducts[Product Name])))</f>
        <v>Printer Paper (500 Sheets)</v>
      </c>
      <c r="F21" s="4">
        <v>18</v>
      </c>
      <c r="G21">
        <f>IF(tblSales[[#This Row],[Product ID]]="","",_xlfn.XLOOKUP(tblSales[[#This Row],[Product ID]],tblProducts[Product ID],tblProducts[Selling Price]))</f>
        <v>320</v>
      </c>
      <c r="H21">
        <f>IF(tblSales[[#This Row],[Product ID]]="","",tblSales[[#This Row],[Selling Price]]*tblSales[[#This Row],[Qty Sold]])</f>
        <v>5760</v>
      </c>
    </row>
    <row r="22" spans="1:8" x14ac:dyDescent="0.35">
      <c r="A22" s="3" t="s">
        <v>230</v>
      </c>
      <c r="B22" s="6">
        <v>46059</v>
      </c>
      <c r="C22" s="3" t="s">
        <v>153</v>
      </c>
      <c r="D22" s="3" t="s">
        <v>42</v>
      </c>
      <c r="E22" s="3" t="str">
        <f>IF(tblSales[[#This Row],[Product ID]]="","",(_xlfn.XLOOKUP(tblSales[[#This Row],[Product ID]],tblProducts[Product ID],tblProducts[Product Name])))</f>
        <v>Highlighter Set</v>
      </c>
      <c r="F22" s="4">
        <v>15</v>
      </c>
      <c r="G22">
        <f>IF(tblSales[[#This Row],[Product ID]]="","",_xlfn.XLOOKUP(tblSales[[#This Row],[Product ID]],tblProducts[Product ID],tblProducts[Selling Price]))</f>
        <v>160</v>
      </c>
      <c r="H22">
        <f>IF(tblSales[[#This Row],[Product ID]]="","",tblSales[[#This Row],[Selling Price]]*tblSales[[#This Row],[Qty Sold]])</f>
        <v>2400</v>
      </c>
    </row>
    <row r="23" spans="1:8" x14ac:dyDescent="0.35">
      <c r="A23" s="3" t="s">
        <v>231</v>
      </c>
      <c r="B23" s="6">
        <v>46061</v>
      </c>
      <c r="C23" s="3" t="s">
        <v>155</v>
      </c>
      <c r="D23" s="3" t="s">
        <v>47</v>
      </c>
      <c r="E23" s="3" t="str">
        <f>IF(tblSales[[#This Row],[Product ID]]="","",(_xlfn.XLOOKUP(tblSales[[#This Row],[Product ID]],tblProducts[Product ID],tblProducts[Product Name])))</f>
        <v>Study Table</v>
      </c>
      <c r="F23" s="4">
        <v>2</v>
      </c>
      <c r="G23">
        <f>IF(tblSales[[#This Row],[Product ID]]="","",_xlfn.XLOOKUP(tblSales[[#This Row],[Product ID]],tblProducts[Product ID],tblProducts[Selling Price]))</f>
        <v>6200</v>
      </c>
      <c r="H23">
        <f>IF(tblSales[[#This Row],[Product ID]]="","",tblSales[[#This Row],[Selling Price]]*tblSales[[#This Row],[Qty Sold]])</f>
        <v>12400</v>
      </c>
    </row>
    <row r="24" spans="1:8" x14ac:dyDescent="0.35">
      <c r="A24" s="3" t="s">
        <v>232</v>
      </c>
      <c r="B24" s="6">
        <v>46063</v>
      </c>
      <c r="C24" s="3" t="s">
        <v>157</v>
      </c>
      <c r="D24" s="3" t="s">
        <v>49</v>
      </c>
      <c r="E24" s="3" t="str">
        <f>IF(tblSales[[#This Row],[Product ID]]="","",(_xlfn.XLOOKUP(tblSales[[#This Row],[Product ID]],tblProducts[Product ID],tblProducts[Product Name])))</f>
        <v>Bookshelf</v>
      </c>
      <c r="F24" s="4">
        <v>2</v>
      </c>
      <c r="G24">
        <f>IF(tblSales[[#This Row],[Product ID]]="","",_xlfn.XLOOKUP(tblSales[[#This Row],[Product ID]],tblProducts[Product ID],tblProducts[Selling Price]))</f>
        <v>4200</v>
      </c>
      <c r="H24">
        <f>IF(tblSales[[#This Row],[Product ID]]="","",tblSales[[#This Row],[Selling Price]]*tblSales[[#This Row],[Qty Sold]])</f>
        <v>8400</v>
      </c>
    </row>
    <row r="25" spans="1:8" x14ac:dyDescent="0.35">
      <c r="A25" s="3" t="s">
        <v>233</v>
      </c>
      <c r="B25" s="6">
        <v>46065</v>
      </c>
      <c r="C25" s="3" t="s">
        <v>159</v>
      </c>
      <c r="D25" s="3" t="s">
        <v>53</v>
      </c>
      <c r="E25" s="3" t="str">
        <f>IF(tblSales[[#This Row],[Product ID]]="","",(_xlfn.XLOOKUP(tblSales[[#This Row],[Product ID]],tblProducts[Product ID],tblProducts[Product Name])))</f>
        <v>Storage Cabinet</v>
      </c>
      <c r="F25" s="4">
        <v>2</v>
      </c>
      <c r="G25">
        <f>IF(tblSales[[#This Row],[Product ID]]="","",_xlfn.XLOOKUP(tblSales[[#This Row],[Product ID]],tblProducts[Product ID],tblProducts[Selling Price]))</f>
        <v>7800</v>
      </c>
      <c r="H25">
        <f>IF(tblSales[[#This Row],[Product ID]]="","",tblSales[[#This Row],[Selling Price]]*tblSales[[#This Row],[Qty Sold]])</f>
        <v>15600</v>
      </c>
    </row>
    <row r="26" spans="1:8" x14ac:dyDescent="0.35">
      <c r="A26" s="3" t="s">
        <v>234</v>
      </c>
      <c r="B26" s="6">
        <v>46067</v>
      </c>
      <c r="C26" s="3" t="s">
        <v>161</v>
      </c>
      <c r="D26" s="3" t="s">
        <v>20</v>
      </c>
      <c r="E26" s="3" t="str">
        <f>IF(tblSales[[#This Row],[Product ID]]="","",(_xlfn.XLOOKUP(tblSales[[#This Row],[Product ID]],tblProducts[Product ID],tblProducts[Product Name])))</f>
        <v>Wireless Mouse</v>
      </c>
      <c r="F26" s="4">
        <v>18</v>
      </c>
      <c r="G26">
        <f>IF(tblSales[[#This Row],[Product ID]]="","",_xlfn.XLOOKUP(tblSales[[#This Row],[Product ID]],tblProducts[Product ID],tblProducts[Selling Price]))</f>
        <v>650</v>
      </c>
      <c r="H26">
        <f>IF(tblSales[[#This Row],[Product ID]]="","",tblSales[[#This Row],[Selling Price]]*tblSales[[#This Row],[Qty Sold]])</f>
        <v>11700</v>
      </c>
    </row>
    <row r="27" spans="1:8" x14ac:dyDescent="0.35">
      <c r="A27" s="3" t="s">
        <v>235</v>
      </c>
      <c r="B27" s="6">
        <v>46069</v>
      </c>
      <c r="C27" s="3" t="s">
        <v>163</v>
      </c>
      <c r="D27" s="3" t="s">
        <v>32</v>
      </c>
      <c r="E27" s="3" t="str">
        <f>IF(tblSales[[#This Row],[Product ID]]="","",(_xlfn.XLOOKUP(tblSales[[#This Row],[Product ID]],tblProducts[Product ID],tblProducts[Product Name])))</f>
        <v>Notebook A5</v>
      </c>
      <c r="F27" s="4">
        <v>35</v>
      </c>
      <c r="G27">
        <f>IF(tblSales[[#This Row],[Product ID]]="","",_xlfn.XLOOKUP(tblSales[[#This Row],[Product ID]],tblProducts[Product ID],tblProducts[Selling Price]))</f>
        <v>80</v>
      </c>
      <c r="H27">
        <f>IF(tblSales[[#This Row],[Product ID]]="","",tblSales[[#This Row],[Selling Price]]*tblSales[[#This Row],[Qty Sold]])</f>
        <v>2800</v>
      </c>
    </row>
    <row r="28" spans="1:8" x14ac:dyDescent="0.35">
      <c r="A28" s="3" t="s">
        <v>236</v>
      </c>
      <c r="B28" s="6">
        <v>46071</v>
      </c>
      <c r="C28" s="3" t="s">
        <v>165</v>
      </c>
      <c r="D28" s="3" t="s">
        <v>35</v>
      </c>
      <c r="E28" s="3" t="str">
        <f>IF(tblSales[[#This Row],[Product ID]]="","",(_xlfn.XLOOKUP(tblSales[[#This Row],[Product ID]],tblProducts[Product ID],tblProducts[Product Name])))</f>
        <v>Ball Pen</v>
      </c>
      <c r="F28" s="4">
        <v>90</v>
      </c>
      <c r="G28">
        <f>IF(tblSales[[#This Row],[Product ID]]="","",_xlfn.XLOOKUP(tblSales[[#This Row],[Product ID]],tblProducts[Product ID],tblProducts[Selling Price]))</f>
        <v>25</v>
      </c>
      <c r="H28">
        <f>IF(tblSales[[#This Row],[Product ID]]="","",tblSales[[#This Row],[Selling Price]]*tblSales[[#This Row],[Qty Sold]])</f>
        <v>2250</v>
      </c>
    </row>
    <row r="29" spans="1:8" x14ac:dyDescent="0.35">
      <c r="A29" s="3" t="s">
        <v>237</v>
      </c>
      <c r="B29" s="6">
        <v>46073</v>
      </c>
      <c r="C29" s="3" t="s">
        <v>167</v>
      </c>
      <c r="D29" s="3" t="s">
        <v>30</v>
      </c>
      <c r="E29" s="3" t="str">
        <f>IF(tblSales[[#This Row],[Product ID]]="","",(_xlfn.XLOOKUP(tblSales[[#This Row],[Product ID]],tblProducts[Product ID],tblProducts[Product Name])))</f>
        <v>HDMI Cable</v>
      </c>
      <c r="F29" s="4">
        <v>25</v>
      </c>
      <c r="G29">
        <f>IF(tblSales[[#This Row],[Product ID]]="","",_xlfn.XLOOKUP(tblSales[[#This Row],[Product ID]],tblProducts[Product ID],tblProducts[Selling Price]))</f>
        <v>350</v>
      </c>
      <c r="H29">
        <f>IF(tblSales[[#This Row],[Product ID]]="","",tblSales[[#This Row],[Selling Price]]*tblSales[[#This Row],[Qty Sold]])</f>
        <v>8750</v>
      </c>
    </row>
    <row r="30" spans="1:8" x14ac:dyDescent="0.35">
      <c r="A30" s="3" t="s">
        <v>238</v>
      </c>
      <c r="B30" s="6">
        <v>46075</v>
      </c>
      <c r="C30" s="3" t="s">
        <v>169</v>
      </c>
      <c r="D30" s="3" t="s">
        <v>55</v>
      </c>
      <c r="E30" s="3" t="str">
        <f>IF(tblSales[[#This Row],[Product ID]]="","",(_xlfn.XLOOKUP(tblSales[[#This Row],[Product ID]],tblProducts[Product ID],tblProducts[Product Name])))</f>
        <v>Water Bottle 1L</v>
      </c>
      <c r="F30" s="4">
        <v>40</v>
      </c>
      <c r="G30">
        <f>IF(tblSales[[#This Row],[Product ID]]="","",_xlfn.XLOOKUP(tblSales[[#This Row],[Product ID]],tblProducts[Product ID],tblProducts[Selling Price]))</f>
        <v>220</v>
      </c>
      <c r="H30">
        <f>IF(tblSales[[#This Row],[Product ID]]="","",tblSales[[#This Row],[Selling Price]]*tblSales[[#This Row],[Qty Sold]])</f>
        <v>8800</v>
      </c>
    </row>
    <row r="31" spans="1:8" x14ac:dyDescent="0.35">
      <c r="A31" s="3" t="s">
        <v>239</v>
      </c>
      <c r="B31" s="6">
        <v>46077</v>
      </c>
      <c r="C31" s="3" t="s">
        <v>171</v>
      </c>
      <c r="D31" s="3" t="s">
        <v>66</v>
      </c>
      <c r="E31" s="3" t="str">
        <f>IF(tblSales[[#This Row],[Product ID]]="","",(_xlfn.XLOOKUP(tblSales[[#This Row],[Product ID]],tblProducts[Product ID],tblProducts[Product Name])))</f>
        <v>Whiteboard Marker</v>
      </c>
      <c r="F31" s="4">
        <v>50</v>
      </c>
      <c r="G31">
        <f>IF(tblSales[[#This Row],[Product ID]]="","",_xlfn.XLOOKUP(tblSales[[#This Row],[Product ID]],tblProducts[Product ID],tblProducts[Selling Price]))</f>
        <v>55</v>
      </c>
      <c r="H31">
        <f>IF(tblSales[[#This Row],[Product ID]]="","",tblSales[[#This Row],[Selling Price]]*tblSales[[#This Row],[Qty Sold]])</f>
        <v>2750</v>
      </c>
    </row>
    <row r="32" spans="1:8" x14ac:dyDescent="0.35">
      <c r="A32" s="3" t="s">
        <v>269</v>
      </c>
      <c r="B32" s="6">
        <v>46079</v>
      </c>
      <c r="C32" s="3" t="s">
        <v>153</v>
      </c>
      <c r="D32" s="3" t="s">
        <v>26</v>
      </c>
      <c r="E32" s="3" t="str">
        <f>IF(tblSales[[#This Row],[Product ID]]="","",(_xlfn.XLOOKUP(tblSales[[#This Row],[Product ID]],tblProducts[Product ID],tblProducts[Product Name])))</f>
        <v>USB Flash Drive 32GB</v>
      </c>
      <c r="F32" s="4">
        <v>18</v>
      </c>
      <c r="G32" s="40">
        <f>IF(tblSales[[#This Row],[Product ID]]="","",_xlfn.XLOOKUP(tblSales[[#This Row],[Product ID]],tblProducts[Product ID],tblProducts[Selling Price]))</f>
        <v>550</v>
      </c>
      <c r="H32">
        <f>IF(tblSales[[#This Row],[Product ID]]="","",tblSales[[#This Row],[Selling Price]]*tblSales[[#This Row],[Qty Sold]])</f>
        <v>9900</v>
      </c>
    </row>
    <row r="33" spans="1:8" x14ac:dyDescent="0.35">
      <c r="A33" s="3" t="s">
        <v>270</v>
      </c>
      <c r="B33" s="6">
        <v>46080</v>
      </c>
      <c r="C33" s="3" t="s">
        <v>155</v>
      </c>
      <c r="D33" s="3" t="s">
        <v>20</v>
      </c>
      <c r="E33" s="3" t="str">
        <f>IF(tblSales[[#This Row],[Product ID]]="","",(_xlfn.XLOOKUP(tblSales[[#This Row],[Product ID]],tblProducts[Product ID],tblProducts[Product Name])))</f>
        <v>Wireless Mouse</v>
      </c>
      <c r="F33" s="4">
        <v>12</v>
      </c>
      <c r="G33" s="40">
        <f>IF(tblSales[[#This Row],[Product ID]]="","",_xlfn.XLOOKUP(tblSales[[#This Row],[Product ID]],tblProducts[Product ID],tblProducts[Selling Price]))</f>
        <v>650</v>
      </c>
      <c r="H33">
        <f>IF(tblSales[[#This Row],[Product ID]]="","",tblSales[[#This Row],[Selling Price]]*tblSales[[#This Row],[Qty Sold]])</f>
        <v>7800</v>
      </c>
    </row>
    <row r="34" spans="1:8" x14ac:dyDescent="0.35">
      <c r="A34" s="3" t="s">
        <v>271</v>
      </c>
      <c r="B34" s="6">
        <v>46081</v>
      </c>
      <c r="C34" s="3" t="s">
        <v>157</v>
      </c>
      <c r="D34" s="3" t="s">
        <v>39</v>
      </c>
      <c r="E34" s="3" t="str">
        <f>IF(tblSales[[#This Row],[Product ID]]="","",(_xlfn.XLOOKUP(tblSales[[#This Row],[Product ID]],tblProducts[Product ID],tblProducts[Product Name])))</f>
        <v>Printer Paper (500 Sheets)</v>
      </c>
      <c r="F34" s="4">
        <v>22</v>
      </c>
      <c r="G34" s="40">
        <f>IF(tblSales[[#This Row],[Product ID]]="","",_xlfn.XLOOKUP(tblSales[[#This Row],[Product ID]],tblProducts[Product ID],tblProducts[Selling Price]))</f>
        <v>320</v>
      </c>
      <c r="H34">
        <f>IF(tblSales[[#This Row],[Product ID]]="","",tblSales[[#This Row],[Selling Price]]*tblSales[[#This Row],[Qty Sold]])</f>
        <v>7040</v>
      </c>
    </row>
    <row r="35" spans="1:8" x14ac:dyDescent="0.35">
      <c r="A35" s="3" t="s">
        <v>272</v>
      </c>
      <c r="B35" s="6">
        <v>46082</v>
      </c>
      <c r="C35" s="3" t="s">
        <v>159</v>
      </c>
      <c r="D35" s="3" t="s">
        <v>64</v>
      </c>
      <c r="E35" s="3" t="str">
        <f>IF(tblSales[[#This Row],[Product ID]]="","",(_xlfn.XLOOKUP(tblSales[[#This Row],[Product ID]],tblProducts[Product ID],tblProducts[Product Name])))</f>
        <v>Bluetooth Speaker</v>
      </c>
      <c r="F35" s="4">
        <v>5</v>
      </c>
      <c r="G35" s="40">
        <f>IF(tblSales[[#This Row],[Product ID]]="","",_xlfn.XLOOKUP(tblSales[[#This Row],[Product ID]],tblProducts[Product ID],tblProducts[Selling Price]))</f>
        <v>1700</v>
      </c>
      <c r="H35">
        <f>IF(tblSales[[#This Row],[Product ID]]="","",tblSales[[#This Row],[Selling Price]]*tblSales[[#This Row],[Qty Sold]])</f>
        <v>8500</v>
      </c>
    </row>
    <row r="36" spans="1:8" x14ac:dyDescent="0.35">
      <c r="A36" s="3" t="s">
        <v>273</v>
      </c>
      <c r="B36" s="6">
        <v>46083</v>
      </c>
      <c r="C36" s="3" t="s">
        <v>161</v>
      </c>
      <c r="D36" s="3" t="s">
        <v>44</v>
      </c>
      <c r="E36" s="3" t="str">
        <f>IF(tblSales[[#This Row],[Product ID]]="","",(_xlfn.XLOOKUP(tblSales[[#This Row],[Product ID]],tblProducts[Product ID],tblProducts[Product Name])))</f>
        <v>Office Chair</v>
      </c>
      <c r="F36" s="4">
        <v>2</v>
      </c>
      <c r="G36" s="40">
        <f>IF(tblSales[[#This Row],[Product ID]]="","",_xlfn.XLOOKUP(tblSales[[#This Row],[Product ID]],tblProducts[Product ID],tblProducts[Selling Price]))</f>
        <v>5000</v>
      </c>
      <c r="H36">
        <f>IF(tblSales[[#This Row],[Product ID]]="","",tblSales[[#This Row],[Selling Price]]*tblSales[[#This Row],[Qty Sold]])</f>
        <v>10000</v>
      </c>
    </row>
    <row r="37" spans="1:8" x14ac:dyDescent="0.35">
      <c r="A37" s="3" t="s">
        <v>274</v>
      </c>
      <c r="B37" s="6">
        <v>46084</v>
      </c>
      <c r="C37" s="3" t="s">
        <v>163</v>
      </c>
      <c r="D37" s="3" t="s">
        <v>72</v>
      </c>
      <c r="E37" s="3" t="str">
        <f>IF(tblSales[[#This Row],[Product ID]]="","",(_xlfn.XLOOKUP(tblSales[[#This Row],[Product ID]],tblProducts[Product ID],tblProducts[Product Name])))</f>
        <v>File Folder</v>
      </c>
      <c r="F37" s="4">
        <v>90</v>
      </c>
      <c r="G37" s="40">
        <f>IF(tblSales[[#This Row],[Product ID]]="","",_xlfn.XLOOKUP(tblSales[[#This Row],[Product ID]],tblProducts[Product ID],tblProducts[Selling Price]))</f>
        <v>35</v>
      </c>
      <c r="H37">
        <f>IF(tblSales[[#This Row],[Product ID]]="","",tblSales[[#This Row],[Selling Price]]*tblSales[[#This Row],[Qty Sold]])</f>
        <v>3150</v>
      </c>
    </row>
    <row r="38" spans="1:8" x14ac:dyDescent="0.35">
      <c r="A38" s="3" t="s">
        <v>275</v>
      </c>
      <c r="B38" s="6">
        <v>46085</v>
      </c>
      <c r="C38" s="3" t="s">
        <v>165</v>
      </c>
      <c r="D38" s="3" t="s">
        <v>32</v>
      </c>
      <c r="E38" s="3" t="str">
        <f>IF(tblSales[[#This Row],[Product ID]]="","",(_xlfn.XLOOKUP(tblSales[[#This Row],[Product ID]],tblProducts[Product ID],tblProducts[Product Name])))</f>
        <v>Notebook A5</v>
      </c>
      <c r="F38" s="4">
        <v>35</v>
      </c>
      <c r="G38" s="40">
        <f>IF(tblSales[[#This Row],[Product ID]]="","",_xlfn.XLOOKUP(tblSales[[#This Row],[Product ID]],tblProducts[Product ID],tblProducts[Selling Price]))</f>
        <v>80</v>
      </c>
      <c r="H38">
        <f>IF(tblSales[[#This Row],[Product ID]]="","",tblSales[[#This Row],[Selling Price]]*tblSales[[#This Row],[Qty Sold]])</f>
        <v>2800</v>
      </c>
    </row>
    <row r="39" spans="1:8" x14ac:dyDescent="0.35">
      <c r="A39" s="3" t="s">
        <v>276</v>
      </c>
      <c r="B39" s="6">
        <v>46086</v>
      </c>
      <c r="C39" s="3" t="s">
        <v>167</v>
      </c>
      <c r="D39" s="3" t="s">
        <v>62</v>
      </c>
      <c r="E39" s="3" t="str">
        <f>IF(tblSales[[#This Row],[Product ID]]="","",(_xlfn.XLOOKUP(tblSales[[#This Row],[Product ID]],tblProducts[Product ID],tblProducts[Product Name])))</f>
        <v>Power Bank 10000mAh</v>
      </c>
      <c r="F39" s="4">
        <v>8</v>
      </c>
      <c r="G39" s="40">
        <f>IF(tblSales[[#This Row],[Product ID]]="","",_xlfn.XLOOKUP(tblSales[[#This Row],[Product ID]],tblProducts[Product ID],tblProducts[Selling Price]))</f>
        <v>1450</v>
      </c>
      <c r="H39">
        <f>IF(tblSales[[#This Row],[Product ID]]="","",tblSales[[#This Row],[Selling Price]]*tblSales[[#This Row],[Qty Sold]])</f>
        <v>11600</v>
      </c>
    </row>
    <row r="40" spans="1:8" x14ac:dyDescent="0.35">
      <c r="A40" s="3" t="s">
        <v>277</v>
      </c>
      <c r="B40" s="6">
        <v>46087</v>
      </c>
      <c r="C40" s="3" t="s">
        <v>169</v>
      </c>
      <c r="D40" s="3" t="s">
        <v>58</v>
      </c>
      <c r="E40" s="3" t="str">
        <f>IF(tblSales[[#This Row],[Product ID]]="","",(_xlfn.XLOOKUP(tblSales[[#This Row],[Product ID]],tblProducts[Product ID],tblProducts[Product Name])))</f>
        <v>Laptop Backpack</v>
      </c>
      <c r="F40" s="4">
        <v>10</v>
      </c>
      <c r="G40" s="40">
        <f>IF(tblSales[[#This Row],[Product ID]]="","",_xlfn.XLOOKUP(tblSales[[#This Row],[Product ID]],tblProducts[Product ID],tblProducts[Selling Price]))</f>
        <v>1300</v>
      </c>
      <c r="H40">
        <f>IF(tblSales[[#This Row],[Product ID]]="","",tblSales[[#This Row],[Selling Price]]*tblSales[[#This Row],[Qty Sold]])</f>
        <v>13000</v>
      </c>
    </row>
    <row r="41" spans="1:8" x14ac:dyDescent="0.35">
      <c r="A41" s="3" t="s">
        <v>278</v>
      </c>
      <c r="B41" s="6">
        <v>46088</v>
      </c>
      <c r="C41" s="3" t="s">
        <v>171</v>
      </c>
      <c r="D41" s="3" t="s">
        <v>30</v>
      </c>
      <c r="E41" s="3" t="str">
        <f>IF(tblSales[[#This Row],[Product ID]]="","",(_xlfn.XLOOKUP(tblSales[[#This Row],[Product ID]],tblProducts[Product ID],tblProducts[Product Name])))</f>
        <v>HDMI Cable</v>
      </c>
      <c r="F41" s="4">
        <v>20</v>
      </c>
      <c r="G41" s="40">
        <f>IF(tblSales[[#This Row],[Product ID]]="","",_xlfn.XLOOKUP(tblSales[[#This Row],[Product ID]],tblProducts[Product ID],tblProducts[Selling Price]))</f>
        <v>350</v>
      </c>
      <c r="H41">
        <f>IF(tblSales[[#This Row],[Product ID]]="","",tblSales[[#This Row],[Selling Price]]*tblSales[[#This Row],[Qty Sold]])</f>
        <v>7000</v>
      </c>
    </row>
    <row r="42" spans="1:8" x14ac:dyDescent="0.35">
      <c r="A42" s="3" t="s">
        <v>279</v>
      </c>
      <c r="B42" s="6">
        <v>46089</v>
      </c>
      <c r="C42" s="3" t="s">
        <v>153</v>
      </c>
      <c r="D42" s="3" t="s">
        <v>70</v>
      </c>
      <c r="E42" s="3" t="str">
        <f>IF(tblSales[[#This Row],[Product ID]]="","",(_xlfn.XLOOKUP(tblSales[[#This Row],[Product ID]],tblProducts[Product ID],tblProducts[Product Name])))</f>
        <v>Extension Board</v>
      </c>
      <c r="F42" s="4">
        <v>15</v>
      </c>
      <c r="G42" s="40">
        <f>IF(tblSales[[#This Row],[Product ID]]="","",_xlfn.XLOOKUP(tblSales[[#This Row],[Product ID]],tblProducts[Product ID],tblProducts[Selling Price]))</f>
        <v>450</v>
      </c>
      <c r="H42">
        <f>IF(tblSales[[#This Row],[Product ID]]="","",tblSales[[#This Row],[Selling Price]]*tblSales[[#This Row],[Qty Sold]])</f>
        <v>6750</v>
      </c>
    </row>
    <row r="43" spans="1:8" x14ac:dyDescent="0.35">
      <c r="A43" s="3" t="s">
        <v>280</v>
      </c>
      <c r="B43" s="6">
        <v>46090</v>
      </c>
      <c r="C43" s="3" t="s">
        <v>155</v>
      </c>
      <c r="D43" s="3" t="s">
        <v>35</v>
      </c>
      <c r="E43" s="3" t="str">
        <f>IF(tblSales[[#This Row],[Product ID]]="","",(_xlfn.XLOOKUP(tblSales[[#This Row],[Product ID]],tblProducts[Product ID],tblProducts[Product Name])))</f>
        <v>Ball Pen</v>
      </c>
      <c r="F43" s="4">
        <v>85</v>
      </c>
      <c r="G43" s="40">
        <f>IF(tblSales[[#This Row],[Product ID]]="","",_xlfn.XLOOKUP(tblSales[[#This Row],[Product ID]],tblProducts[Product ID],tblProducts[Selling Price]))</f>
        <v>25</v>
      </c>
      <c r="H43">
        <f>IF(tblSales[[#This Row],[Product ID]]="","",tblSales[[#This Row],[Selling Price]]*tblSales[[#This Row],[Qty Sold]])</f>
        <v>2125</v>
      </c>
    </row>
    <row r="44" spans="1:8" x14ac:dyDescent="0.35">
      <c r="A44" s="3" t="s">
        <v>281</v>
      </c>
      <c r="B44" s="6">
        <v>46091</v>
      </c>
      <c r="C44" s="3" t="s">
        <v>157</v>
      </c>
      <c r="D44" s="3" t="s">
        <v>55</v>
      </c>
      <c r="E44" s="3" t="str">
        <f>IF(tblSales[[#This Row],[Product ID]]="","",(_xlfn.XLOOKUP(tblSales[[#This Row],[Product ID]],tblProducts[Product ID],tblProducts[Product Name])))</f>
        <v>Water Bottle 1L</v>
      </c>
      <c r="F44" s="4">
        <v>25</v>
      </c>
      <c r="G44" s="40">
        <f>IF(tblSales[[#This Row],[Product ID]]="","",_xlfn.XLOOKUP(tblSales[[#This Row],[Product ID]],tblProducts[Product ID],tblProducts[Selling Price]))</f>
        <v>220</v>
      </c>
      <c r="H44">
        <f>IF(tblSales[[#This Row],[Product ID]]="","",tblSales[[#This Row],[Selling Price]]*tblSales[[#This Row],[Qty Sold]])</f>
        <v>5500</v>
      </c>
    </row>
    <row r="45" spans="1:8" x14ac:dyDescent="0.35">
      <c r="A45" s="3" t="s">
        <v>282</v>
      </c>
      <c r="B45" s="6">
        <v>46092</v>
      </c>
      <c r="C45" s="3" t="s">
        <v>159</v>
      </c>
      <c r="D45" s="3" t="s">
        <v>66</v>
      </c>
      <c r="E45" s="3" t="str">
        <f>IF(tblSales[[#This Row],[Product ID]]="","",(_xlfn.XLOOKUP(tblSales[[#This Row],[Product ID]],tblProducts[Product ID],tblProducts[Product Name])))</f>
        <v>Whiteboard Marker</v>
      </c>
      <c r="F45" s="4">
        <v>40</v>
      </c>
      <c r="G45" s="40">
        <f>IF(tblSales[[#This Row],[Product ID]]="","",_xlfn.XLOOKUP(tblSales[[#This Row],[Product ID]],tblProducts[Product ID],tblProducts[Selling Price]))</f>
        <v>55</v>
      </c>
      <c r="H45">
        <f>IF(tblSales[[#This Row],[Product ID]]="","",tblSales[[#This Row],[Selling Price]]*tblSales[[#This Row],[Qty Sold]])</f>
        <v>2200</v>
      </c>
    </row>
    <row r="46" spans="1:8" x14ac:dyDescent="0.35">
      <c r="A46" s="3" t="s">
        <v>283</v>
      </c>
      <c r="B46" s="6">
        <v>46093</v>
      </c>
      <c r="C46" s="3" t="s">
        <v>161</v>
      </c>
      <c r="D46" s="3" t="s">
        <v>51</v>
      </c>
      <c r="E46" s="3" t="str">
        <f>IF(tblSales[[#This Row],[Product ID]]="","",(_xlfn.XLOOKUP(tblSales[[#This Row],[Product ID]],tblProducts[Product ID],tblProducts[Product Name])))</f>
        <v>LED Desk Lamp</v>
      </c>
      <c r="F46" s="4">
        <v>6</v>
      </c>
      <c r="G46" s="40">
        <f>IF(tblSales[[#This Row],[Product ID]]="","",_xlfn.XLOOKUP(tblSales[[#This Row],[Product ID]],tblProducts[Product ID],tblProducts[Selling Price]))</f>
        <v>950</v>
      </c>
      <c r="H46">
        <f>IF(tblSales[[#This Row],[Product ID]]="","",tblSales[[#This Row],[Selling Price]]*tblSales[[#This Row],[Qty Sold]])</f>
        <v>5700</v>
      </c>
    </row>
    <row r="47" spans="1:8" x14ac:dyDescent="0.35">
      <c r="A47" s="3" t="s">
        <v>284</v>
      </c>
      <c r="B47" s="6">
        <v>46094</v>
      </c>
      <c r="C47" s="3" t="s">
        <v>163</v>
      </c>
      <c r="D47" s="3" t="s">
        <v>47</v>
      </c>
      <c r="E47" s="3" t="str">
        <f>IF(tblSales[[#This Row],[Product ID]]="","",(_xlfn.XLOOKUP(tblSales[[#This Row],[Product ID]],tblProducts[Product ID],tblProducts[Product Name])))</f>
        <v>Study Table</v>
      </c>
      <c r="F47" s="4">
        <v>2</v>
      </c>
      <c r="G47" s="40">
        <f>IF(tblSales[[#This Row],[Product ID]]="","",_xlfn.XLOOKUP(tblSales[[#This Row],[Product ID]],tblProducts[Product ID],tblProducts[Selling Price]))</f>
        <v>6200</v>
      </c>
      <c r="H47">
        <f>IF(tblSales[[#This Row],[Product ID]]="","",tblSales[[#This Row],[Selling Price]]*tblSales[[#This Row],[Qty Sold]])</f>
        <v>12400</v>
      </c>
    </row>
    <row r="48" spans="1:8" x14ac:dyDescent="0.35">
      <c r="A48" s="3" t="s">
        <v>285</v>
      </c>
      <c r="B48" s="6">
        <v>46095</v>
      </c>
      <c r="C48" s="3" t="s">
        <v>165</v>
      </c>
      <c r="D48" s="3" t="s">
        <v>42</v>
      </c>
      <c r="E48" s="3" t="str">
        <f>IF(tblSales[[#This Row],[Product ID]]="","",(_xlfn.XLOOKUP(tblSales[[#This Row],[Product ID]],tblProducts[Product ID],tblProducts[Product Name])))</f>
        <v>Highlighter Set</v>
      </c>
      <c r="F48" s="4">
        <v>14</v>
      </c>
      <c r="G48" s="40">
        <f>IF(tblSales[[#This Row],[Product ID]]="","",_xlfn.XLOOKUP(tblSales[[#This Row],[Product ID]],tblProducts[Product ID],tblProducts[Selling Price]))</f>
        <v>160</v>
      </c>
      <c r="H48">
        <f>IF(tblSales[[#This Row],[Product ID]]="","",tblSales[[#This Row],[Selling Price]]*tblSales[[#This Row],[Qty Sold]])</f>
        <v>2240</v>
      </c>
    </row>
    <row r="49" spans="1:8" x14ac:dyDescent="0.35">
      <c r="A49" s="3" t="s">
        <v>286</v>
      </c>
      <c r="B49" s="6">
        <v>46096</v>
      </c>
      <c r="C49" s="3" t="s">
        <v>167</v>
      </c>
      <c r="D49" s="3" t="s">
        <v>68</v>
      </c>
      <c r="E49" s="3" t="str">
        <f>IF(tblSales[[#This Row],[Product ID]]="","",(_xlfn.XLOOKUP(tblSales[[#This Row],[Product ID]],tblProducts[Product ID],tblProducts[Product Name])))</f>
        <v>Calculator</v>
      </c>
      <c r="F49" s="4">
        <v>9</v>
      </c>
      <c r="G49" s="40">
        <f>IF(tblSales[[#This Row],[Product ID]]="","",_xlfn.XLOOKUP(tblSales[[#This Row],[Product ID]],tblProducts[Product ID],tblProducts[Selling Price]))</f>
        <v>550</v>
      </c>
      <c r="H49">
        <f>IF(tblSales[[#This Row],[Product ID]]="","",tblSales[[#This Row],[Selling Price]]*tblSales[[#This Row],[Qty Sold]])</f>
        <v>4950</v>
      </c>
    </row>
    <row r="50" spans="1:8" x14ac:dyDescent="0.35">
      <c r="A50" s="3" t="s">
        <v>287</v>
      </c>
      <c r="B50" s="6">
        <v>46097</v>
      </c>
      <c r="C50" s="3" t="s">
        <v>169</v>
      </c>
      <c r="D50" s="3" t="s">
        <v>20</v>
      </c>
      <c r="E50" s="3" t="str">
        <f>IF(tblSales[[#This Row],[Product ID]]="","",(_xlfn.XLOOKUP(tblSales[[#This Row],[Product ID]],tblProducts[Product ID],tblProducts[Product Name])))</f>
        <v>Wireless Mouse</v>
      </c>
      <c r="F50" s="4">
        <v>20</v>
      </c>
      <c r="G50" s="40">
        <f>IF(tblSales[[#This Row],[Product ID]]="","",_xlfn.XLOOKUP(tblSales[[#This Row],[Product ID]],tblProducts[Product ID],tblProducts[Selling Price]))</f>
        <v>650</v>
      </c>
      <c r="H50">
        <f>IF(tblSales[[#This Row],[Product ID]]="","",tblSales[[#This Row],[Selling Price]]*tblSales[[#This Row],[Qty Sold]])</f>
        <v>13000</v>
      </c>
    </row>
    <row r="51" spans="1:8" x14ac:dyDescent="0.35">
      <c r="A51" s="3" t="s">
        <v>288</v>
      </c>
      <c r="B51" s="6">
        <v>46098</v>
      </c>
      <c r="C51" s="3" t="s">
        <v>171</v>
      </c>
      <c r="D51" s="3" t="s">
        <v>60</v>
      </c>
      <c r="E51" s="3" t="str">
        <f>IF(tblSales[[#This Row],[Product ID]]="","",(_xlfn.XLOOKUP(tblSales[[#This Row],[Product ID]],tblProducts[Product ID],tblProducts[Product Name])))</f>
        <v>Mobile Stand</v>
      </c>
      <c r="F51" s="4">
        <v>30</v>
      </c>
      <c r="G51" s="40">
        <f>IF(tblSales[[#This Row],[Product ID]]="","",_xlfn.XLOOKUP(tblSales[[#This Row],[Product ID]],tblProducts[Product ID],tblProducts[Selling Price]))</f>
        <v>180</v>
      </c>
      <c r="H51">
        <f>IF(tblSales[[#This Row],[Product ID]]="","",tblSales[[#This Row],[Selling Price]]*tblSales[[#This Row],[Qty Sold]])</f>
        <v>5400</v>
      </c>
    </row>
    <row r="52" spans="1:8" x14ac:dyDescent="0.35">
      <c r="A52" s="3" t="s">
        <v>289</v>
      </c>
      <c r="B52" s="6">
        <v>46099</v>
      </c>
      <c r="C52" s="3" t="s">
        <v>153</v>
      </c>
      <c r="D52" s="3" t="s">
        <v>28</v>
      </c>
      <c r="E52" s="3" t="str">
        <f>IF(tblSales[[#This Row],[Product ID]]="","",(_xlfn.XLOOKUP(tblSales[[#This Row],[Product ID]],tblProducts[Product ID],tblProducts[Product Name])))</f>
        <v>External Hard Drive 1TB</v>
      </c>
      <c r="F52" s="4">
        <v>3</v>
      </c>
      <c r="G52" s="40">
        <f>IF(tblSales[[#This Row],[Product ID]]="","",_xlfn.XLOOKUP(tblSales[[#This Row],[Product ID]],tblProducts[Product ID],tblProducts[Selling Price]))</f>
        <v>4200</v>
      </c>
      <c r="H52">
        <f>IF(tblSales[[#This Row],[Product ID]]="","",tblSales[[#This Row],[Selling Price]]*tblSales[[#This Row],[Qty Sold]])</f>
        <v>12600</v>
      </c>
    </row>
    <row r="53" spans="1:8" x14ac:dyDescent="0.35">
      <c r="A53" s="3" t="s">
        <v>290</v>
      </c>
      <c r="B53" s="6">
        <v>46100</v>
      </c>
      <c r="C53" s="3" t="s">
        <v>155</v>
      </c>
      <c r="D53" s="3" t="s">
        <v>74</v>
      </c>
      <c r="E53" s="3" t="str">
        <f>IF(tblSales[[#This Row],[Product ID]]="","",(_xlfn.XLOOKUP(tblSales[[#This Row],[Product ID]],tblProducts[Product ID],tblProducts[Product Name])))</f>
        <v>Desk Organizer</v>
      </c>
      <c r="F53" s="4">
        <v>18</v>
      </c>
      <c r="G53" s="40">
        <f>IF(tblSales[[#This Row],[Product ID]]="","",_xlfn.XLOOKUP(tblSales[[#This Row],[Product ID]],tblProducts[Product ID],tblProducts[Selling Price]))</f>
        <v>380</v>
      </c>
      <c r="H53">
        <f>IF(tblSales[[#This Row],[Product ID]]="","",tblSales[[#This Row],[Selling Price]]*tblSales[[#This Row],[Qty Sold]])</f>
        <v>6840</v>
      </c>
    </row>
    <row r="54" spans="1:8" x14ac:dyDescent="0.35">
      <c r="A54" s="3" t="s">
        <v>291</v>
      </c>
      <c r="B54" s="6">
        <v>46101</v>
      </c>
      <c r="C54" s="3" t="s">
        <v>157</v>
      </c>
      <c r="D54" s="3" t="s">
        <v>49</v>
      </c>
      <c r="E54" s="3" t="str">
        <f>IF(tblSales[[#This Row],[Product ID]]="","",(_xlfn.XLOOKUP(tblSales[[#This Row],[Product ID]],tblProducts[Product ID],tblProducts[Product Name])))</f>
        <v>Bookshelf</v>
      </c>
      <c r="F54" s="4">
        <v>2</v>
      </c>
      <c r="G54" s="40">
        <f>IF(tblSales[[#This Row],[Product ID]]="","",_xlfn.XLOOKUP(tblSales[[#This Row],[Product ID]],tblProducts[Product ID],tblProducts[Selling Price]))</f>
        <v>4200</v>
      </c>
      <c r="H54">
        <f>IF(tblSales[[#This Row],[Product ID]]="","",tblSales[[#This Row],[Selling Price]]*tblSales[[#This Row],[Qty Sold]])</f>
        <v>8400</v>
      </c>
    </row>
    <row r="55" spans="1:8" x14ac:dyDescent="0.35">
      <c r="A55" s="3" t="s">
        <v>292</v>
      </c>
      <c r="B55" s="6">
        <v>46102</v>
      </c>
      <c r="C55" s="3" t="s">
        <v>159</v>
      </c>
      <c r="D55" s="3" t="s">
        <v>37</v>
      </c>
      <c r="E55" s="3" t="str">
        <f>IF(tblSales[[#This Row],[Product ID]]="","",(_xlfn.XLOOKUP(tblSales[[#This Row],[Product ID]],tblProducts[Product ID],tblProducts[Product Name])))</f>
        <v>Stapler</v>
      </c>
      <c r="F55" s="4">
        <v>12</v>
      </c>
      <c r="G55" s="40">
        <f>IF(tblSales[[#This Row],[Product ID]]="","",_xlfn.XLOOKUP(tblSales[[#This Row],[Product ID]],tblProducts[Product ID],tblProducts[Selling Price]))</f>
        <v>180</v>
      </c>
      <c r="H55">
        <f>IF(tblSales[[#This Row],[Product ID]]="","",tblSales[[#This Row],[Selling Price]]*tblSales[[#This Row],[Qty Sold]])</f>
        <v>2160</v>
      </c>
    </row>
    <row r="56" spans="1:8" x14ac:dyDescent="0.35">
      <c r="A56" s="3" t="s">
        <v>293</v>
      </c>
      <c r="B56" s="6">
        <v>46103</v>
      </c>
      <c r="C56" s="3" t="s">
        <v>161</v>
      </c>
      <c r="D56" s="3" t="s">
        <v>24</v>
      </c>
      <c r="E56" s="3" t="str">
        <f>IF(tblSales[[#This Row],[Product ID]]="","",(_xlfn.XLOOKUP(tblSales[[#This Row],[Product ID]],tblProducts[Product ID],tblProducts[Product Name])))</f>
        <v>Wireless Keyboard</v>
      </c>
      <c r="F56" s="4">
        <v>8</v>
      </c>
      <c r="G56" s="40">
        <f>IF(tblSales[[#This Row],[Product ID]]="","",_xlfn.XLOOKUP(tblSales[[#This Row],[Product ID]],tblProducts[Product ID],tblProducts[Selling Price]))</f>
        <v>1300</v>
      </c>
      <c r="H56">
        <f>IF(tblSales[[#This Row],[Product ID]]="","",tblSales[[#This Row],[Selling Price]]*tblSales[[#This Row],[Qty Sold]])</f>
        <v>10400</v>
      </c>
    </row>
    <row r="57" spans="1:8" x14ac:dyDescent="0.35">
      <c r="A57" s="3" t="s">
        <v>294</v>
      </c>
      <c r="B57" s="6">
        <v>46104</v>
      </c>
      <c r="C57" s="3" t="s">
        <v>163</v>
      </c>
      <c r="D57" s="3" t="s">
        <v>26</v>
      </c>
      <c r="E57" s="3" t="str">
        <f>IF(tblSales[[#This Row],[Product ID]]="","",(_xlfn.XLOOKUP(tblSales[[#This Row],[Product ID]],tblProducts[Product ID],tblProducts[Product Name])))</f>
        <v>USB Flash Drive 32GB</v>
      </c>
      <c r="F57" s="4">
        <v>24</v>
      </c>
      <c r="G57" s="40">
        <f>IF(tblSales[[#This Row],[Product ID]]="","",_xlfn.XLOOKUP(tblSales[[#This Row],[Product ID]],tblProducts[Product ID],tblProducts[Selling Price]))</f>
        <v>550</v>
      </c>
      <c r="H57">
        <f>IF(tblSales[[#This Row],[Product ID]]="","",tblSales[[#This Row],[Selling Price]]*tblSales[[#This Row],[Qty Sold]])</f>
        <v>13200</v>
      </c>
    </row>
    <row r="58" spans="1:8" x14ac:dyDescent="0.35">
      <c r="A58" s="3" t="s">
        <v>295</v>
      </c>
      <c r="B58" s="6">
        <v>46105</v>
      </c>
      <c r="C58" s="3" t="s">
        <v>165</v>
      </c>
      <c r="D58" s="3" t="s">
        <v>72</v>
      </c>
      <c r="E58" s="3" t="str">
        <f>IF(tblSales[[#This Row],[Product ID]]="","",(_xlfn.XLOOKUP(tblSales[[#This Row],[Product ID]],tblProducts[Product ID],tblProducts[Product Name])))</f>
        <v>File Folder</v>
      </c>
      <c r="F58" s="4">
        <v>80</v>
      </c>
      <c r="G58" s="40">
        <f>IF(tblSales[[#This Row],[Product ID]]="","",_xlfn.XLOOKUP(tblSales[[#This Row],[Product ID]],tblProducts[Product ID],tblProducts[Selling Price]))</f>
        <v>35</v>
      </c>
      <c r="H58">
        <f>IF(tblSales[[#This Row],[Product ID]]="","",tblSales[[#This Row],[Selling Price]]*tblSales[[#This Row],[Qty Sold]])</f>
        <v>2800</v>
      </c>
    </row>
    <row r="59" spans="1:8" x14ac:dyDescent="0.35">
      <c r="A59" s="3" t="s">
        <v>296</v>
      </c>
      <c r="B59" s="6">
        <v>46106</v>
      </c>
      <c r="C59" s="3" t="s">
        <v>167</v>
      </c>
      <c r="D59" s="3" t="s">
        <v>39</v>
      </c>
      <c r="E59" s="3" t="str">
        <f>IF(tblSales[[#This Row],[Product ID]]="","",(_xlfn.XLOOKUP(tblSales[[#This Row],[Product ID]],tblProducts[Product ID],tblProducts[Product Name])))</f>
        <v>Printer Paper (500 Sheets)</v>
      </c>
      <c r="F59" s="4">
        <v>16</v>
      </c>
      <c r="G59" s="40">
        <f>IF(tblSales[[#This Row],[Product ID]]="","",_xlfn.XLOOKUP(tblSales[[#This Row],[Product ID]],tblProducts[Product ID],tblProducts[Selling Price]))</f>
        <v>320</v>
      </c>
      <c r="H59">
        <f>IF(tblSales[[#This Row],[Product ID]]="","",tblSales[[#This Row],[Selling Price]]*tblSales[[#This Row],[Qty Sold]])</f>
        <v>5120</v>
      </c>
    </row>
    <row r="60" spans="1:8" x14ac:dyDescent="0.35">
      <c r="A60" s="3" t="s">
        <v>297</v>
      </c>
      <c r="B60" s="6">
        <v>46107</v>
      </c>
      <c r="C60" s="3" t="s">
        <v>169</v>
      </c>
      <c r="D60" s="3" t="s">
        <v>64</v>
      </c>
      <c r="E60" s="3" t="str">
        <f>IF(tblSales[[#This Row],[Product ID]]="","",(_xlfn.XLOOKUP(tblSales[[#This Row],[Product ID]],tblProducts[Product ID],tblProducts[Product Name])))</f>
        <v>Bluetooth Speaker</v>
      </c>
      <c r="F60" s="4">
        <v>4</v>
      </c>
      <c r="G60" s="40">
        <f>IF(tblSales[[#This Row],[Product ID]]="","",_xlfn.XLOOKUP(tblSales[[#This Row],[Product ID]],tblProducts[Product ID],tblProducts[Selling Price]))</f>
        <v>1700</v>
      </c>
      <c r="H60">
        <f>IF(tblSales[[#This Row],[Product ID]]="","",tblSales[[#This Row],[Selling Price]]*tblSales[[#This Row],[Qty Sold]])</f>
        <v>6800</v>
      </c>
    </row>
    <row r="61" spans="1:8" x14ac:dyDescent="0.35">
      <c r="A61" s="3" t="s">
        <v>298</v>
      </c>
      <c r="B61" s="6">
        <v>46108</v>
      </c>
      <c r="C61" s="3" t="s">
        <v>171</v>
      </c>
      <c r="D61" s="3" t="s">
        <v>44</v>
      </c>
      <c r="E61" s="3" t="str">
        <f>IF(tblSales[[#This Row],[Product ID]]="","",(_xlfn.XLOOKUP(tblSales[[#This Row],[Product ID]],tblProducts[Product ID],tblProducts[Product Name])))</f>
        <v>Office Chair</v>
      </c>
      <c r="F61" s="4">
        <v>2</v>
      </c>
      <c r="G61" s="40">
        <f>IF(tblSales[[#This Row],[Product ID]]="","",_xlfn.XLOOKUP(tblSales[[#This Row],[Product ID]],tblProducts[Product ID],tblProducts[Selling Price]))</f>
        <v>5000</v>
      </c>
      <c r="H61">
        <f>IF(tblSales[[#This Row],[Product ID]]="","",tblSales[[#This Row],[Selling Price]]*tblSales[[#This Row],[Qty Sold]])</f>
        <v>10000</v>
      </c>
    </row>
    <row r="62" spans="1:8" x14ac:dyDescent="0.35">
      <c r="A62" s="3" t="s">
        <v>299</v>
      </c>
      <c r="B62" s="6">
        <v>46109</v>
      </c>
      <c r="C62" s="3" t="s">
        <v>153</v>
      </c>
      <c r="D62" s="3" t="s">
        <v>32</v>
      </c>
      <c r="E62" s="3" t="str">
        <f>IF(tblSales[[#This Row],[Product ID]]="","",(_xlfn.XLOOKUP(tblSales[[#This Row],[Product ID]],tblProducts[Product ID],tblProducts[Product Name])))</f>
        <v>Notebook A5</v>
      </c>
      <c r="F62" s="4">
        <v>28</v>
      </c>
      <c r="G62" s="40">
        <f>IF(tblSales[[#This Row],[Product ID]]="","",_xlfn.XLOOKUP(tblSales[[#This Row],[Product ID]],tblProducts[Product ID],tblProducts[Selling Price]))</f>
        <v>80</v>
      </c>
      <c r="H62">
        <f>IF(tblSales[[#This Row],[Product ID]]="","",tblSales[[#This Row],[Selling Price]]*tblSales[[#This Row],[Qty Sold]])</f>
        <v>2240</v>
      </c>
    </row>
    <row r="63" spans="1:8" x14ac:dyDescent="0.35">
      <c r="A63" s="3" t="s">
        <v>300</v>
      </c>
      <c r="B63" s="6">
        <v>46110</v>
      </c>
      <c r="C63" s="3" t="s">
        <v>155</v>
      </c>
      <c r="D63" s="3" t="s">
        <v>66</v>
      </c>
      <c r="E63" s="3" t="str">
        <f>IF(tblSales[[#This Row],[Product ID]]="","",(_xlfn.XLOOKUP(tblSales[[#This Row],[Product ID]],tblProducts[Product ID],tblProducts[Product Name])))</f>
        <v>Whiteboard Marker</v>
      </c>
      <c r="F63" s="4">
        <v>35</v>
      </c>
      <c r="G63" s="40">
        <f>IF(tblSales[[#This Row],[Product ID]]="","",_xlfn.XLOOKUP(tblSales[[#This Row],[Product ID]],tblProducts[Product ID],tblProducts[Selling Price]))</f>
        <v>55</v>
      </c>
      <c r="H63">
        <f>IF(tblSales[[#This Row],[Product ID]]="","",tblSales[[#This Row],[Selling Price]]*tblSales[[#This Row],[Qty Sold]])</f>
        <v>1925</v>
      </c>
    </row>
    <row r="64" spans="1:8" x14ac:dyDescent="0.35">
      <c r="A64" s="3" t="s">
        <v>301</v>
      </c>
      <c r="B64" s="6">
        <v>46111</v>
      </c>
      <c r="C64" s="3" t="s">
        <v>157</v>
      </c>
      <c r="D64" s="3" t="s">
        <v>20</v>
      </c>
      <c r="E64" s="3" t="str">
        <f>IF(tblSales[[#This Row],[Product ID]]="","",(_xlfn.XLOOKUP(tblSales[[#This Row],[Product ID]],tblProducts[Product ID],tblProducts[Product Name])))</f>
        <v>Wireless Mouse</v>
      </c>
      <c r="F64" s="4">
        <v>15</v>
      </c>
      <c r="G64" s="40">
        <f>IF(tblSales[[#This Row],[Product ID]]="","",_xlfn.XLOOKUP(tblSales[[#This Row],[Product ID]],tblProducts[Product ID],tblProducts[Selling Price]))</f>
        <v>650</v>
      </c>
      <c r="H64">
        <f>IF(tblSales[[#This Row],[Product ID]]="","",tblSales[[#This Row],[Selling Price]]*tblSales[[#This Row],[Qty Sold]])</f>
        <v>9750</v>
      </c>
    </row>
    <row r="65" spans="1:8" x14ac:dyDescent="0.35">
      <c r="A65" s="3" t="s">
        <v>302</v>
      </c>
      <c r="B65" s="6">
        <v>46112</v>
      </c>
      <c r="C65" s="3" t="s">
        <v>159</v>
      </c>
      <c r="D65" s="3" t="s">
        <v>58</v>
      </c>
      <c r="E65" s="3" t="str">
        <f>IF(tblSales[[#This Row],[Product ID]]="","",(_xlfn.XLOOKUP(tblSales[[#This Row],[Product ID]],tblProducts[Product ID],tblProducts[Product Name])))</f>
        <v>Laptop Backpack</v>
      </c>
      <c r="F65" s="4">
        <v>9</v>
      </c>
      <c r="G65" s="40">
        <f>IF(tblSales[[#This Row],[Product ID]]="","",_xlfn.XLOOKUP(tblSales[[#This Row],[Product ID]],tblProducts[Product ID],tblProducts[Selling Price]))</f>
        <v>1300</v>
      </c>
      <c r="H65">
        <f>IF(tblSales[[#This Row],[Product ID]]="","",tblSales[[#This Row],[Selling Price]]*tblSales[[#This Row],[Qty Sold]])</f>
        <v>11700</v>
      </c>
    </row>
    <row r="66" spans="1:8" x14ac:dyDescent="0.35">
      <c r="A66" s="3" t="s">
        <v>303</v>
      </c>
      <c r="B66" s="6">
        <v>46113</v>
      </c>
      <c r="C66" s="3" t="s">
        <v>161</v>
      </c>
      <c r="D66" s="3" t="s">
        <v>55</v>
      </c>
      <c r="E66" s="3" t="str">
        <f>IF(tblSales[[#This Row],[Product ID]]="","",(_xlfn.XLOOKUP(tblSales[[#This Row],[Product ID]],tblProducts[Product ID],tblProducts[Product Name])))</f>
        <v>Water Bottle 1L</v>
      </c>
      <c r="F66" s="4">
        <v>30</v>
      </c>
      <c r="G66" s="40">
        <f>IF(tblSales[[#This Row],[Product ID]]="","",_xlfn.XLOOKUP(tblSales[[#This Row],[Product ID]],tblProducts[Product ID],tblProducts[Selling Price]))</f>
        <v>220</v>
      </c>
      <c r="H66">
        <f>IF(tblSales[[#This Row],[Product ID]]="","",tblSales[[#This Row],[Selling Price]]*tblSales[[#This Row],[Qty Sold]])</f>
        <v>6600</v>
      </c>
    </row>
    <row r="67" spans="1:8" x14ac:dyDescent="0.35">
      <c r="A67" s="3" t="s">
        <v>304</v>
      </c>
      <c r="B67" s="6">
        <v>46114</v>
      </c>
      <c r="C67" s="3" t="s">
        <v>163</v>
      </c>
      <c r="D67" s="3" t="s">
        <v>70</v>
      </c>
      <c r="E67" s="3" t="str">
        <f>IF(tblSales[[#This Row],[Product ID]]="","",(_xlfn.XLOOKUP(tblSales[[#This Row],[Product ID]],tblProducts[Product ID],tblProducts[Product Name])))</f>
        <v>Extension Board</v>
      </c>
      <c r="F67" s="4">
        <v>18</v>
      </c>
      <c r="G67" s="40">
        <f>IF(tblSales[[#This Row],[Product ID]]="","",_xlfn.XLOOKUP(tblSales[[#This Row],[Product ID]],tblProducts[Product ID],tblProducts[Selling Price]))</f>
        <v>450</v>
      </c>
      <c r="H67">
        <f>IF(tblSales[[#This Row],[Product ID]]="","",tblSales[[#This Row],[Selling Price]]*tblSales[[#This Row],[Qty Sold]])</f>
        <v>8100</v>
      </c>
    </row>
    <row r="68" spans="1:8" x14ac:dyDescent="0.35">
      <c r="A68" s="3" t="s">
        <v>305</v>
      </c>
      <c r="B68" s="6">
        <v>46115</v>
      </c>
      <c r="C68" s="3" t="s">
        <v>165</v>
      </c>
      <c r="D68" s="3" t="s">
        <v>30</v>
      </c>
      <c r="E68" s="3" t="str">
        <f>IF(tblSales[[#This Row],[Product ID]]="","",(_xlfn.XLOOKUP(tblSales[[#This Row],[Product ID]],tblProducts[Product ID],tblProducts[Product Name])))</f>
        <v>HDMI Cable</v>
      </c>
      <c r="F68" s="4">
        <v>24</v>
      </c>
      <c r="G68" s="40">
        <f>IF(tblSales[[#This Row],[Product ID]]="","",_xlfn.XLOOKUP(tblSales[[#This Row],[Product ID]],tblProducts[Product ID],tblProducts[Selling Price]))</f>
        <v>350</v>
      </c>
      <c r="H68">
        <f>IF(tblSales[[#This Row],[Product ID]]="","",tblSales[[#This Row],[Selling Price]]*tblSales[[#This Row],[Qty Sold]])</f>
        <v>8400</v>
      </c>
    </row>
    <row r="69" spans="1:8" x14ac:dyDescent="0.35">
      <c r="A69" s="3" t="s">
        <v>306</v>
      </c>
      <c r="B69" s="6">
        <v>46116</v>
      </c>
      <c r="C69" s="3" t="s">
        <v>167</v>
      </c>
      <c r="D69" s="3" t="s">
        <v>35</v>
      </c>
      <c r="E69" s="3" t="str">
        <f>IF(tblSales[[#This Row],[Product ID]]="","",(_xlfn.XLOOKUP(tblSales[[#This Row],[Product ID]],tblProducts[Product ID],tblProducts[Product Name])))</f>
        <v>Ball Pen</v>
      </c>
      <c r="F69" s="4">
        <v>95</v>
      </c>
      <c r="G69" s="40">
        <f>IF(tblSales[[#This Row],[Product ID]]="","",_xlfn.XLOOKUP(tblSales[[#This Row],[Product ID]],tblProducts[Product ID],tblProducts[Selling Price]))</f>
        <v>25</v>
      </c>
      <c r="H69">
        <f>IF(tblSales[[#This Row],[Product ID]]="","",tblSales[[#This Row],[Selling Price]]*tblSales[[#This Row],[Qty Sold]])</f>
        <v>2375</v>
      </c>
    </row>
    <row r="70" spans="1:8" x14ac:dyDescent="0.35">
      <c r="A70" s="3" t="s">
        <v>307</v>
      </c>
      <c r="B70" s="6">
        <v>46117</v>
      </c>
      <c r="C70" s="3" t="s">
        <v>169</v>
      </c>
      <c r="D70" s="3" t="s">
        <v>51</v>
      </c>
      <c r="E70" s="3" t="str">
        <f>IF(tblSales[[#This Row],[Product ID]]="","",(_xlfn.XLOOKUP(tblSales[[#This Row],[Product ID]],tblProducts[Product ID],tblProducts[Product Name])))</f>
        <v>LED Desk Lamp</v>
      </c>
      <c r="F70" s="4">
        <v>10</v>
      </c>
      <c r="G70" s="40">
        <f>IF(tblSales[[#This Row],[Product ID]]="","",_xlfn.XLOOKUP(tblSales[[#This Row],[Product ID]],tblProducts[Product ID],tblProducts[Selling Price]))</f>
        <v>950</v>
      </c>
      <c r="H70">
        <f>IF(tblSales[[#This Row],[Product ID]]="","",tblSales[[#This Row],[Selling Price]]*tblSales[[#This Row],[Qty Sold]])</f>
        <v>9500</v>
      </c>
    </row>
    <row r="71" spans="1:8" x14ac:dyDescent="0.35">
      <c r="A71" s="3" t="s">
        <v>308</v>
      </c>
      <c r="B71" s="6">
        <v>46118</v>
      </c>
      <c r="C71" s="3" t="s">
        <v>171</v>
      </c>
      <c r="D71" s="3" t="s">
        <v>68</v>
      </c>
      <c r="E71" s="3" t="str">
        <f>IF(tblSales[[#This Row],[Product ID]]="","",(_xlfn.XLOOKUP(tblSales[[#This Row],[Product ID]],tblProducts[Product ID],tblProducts[Product Name])))</f>
        <v>Calculator</v>
      </c>
      <c r="F71" s="4">
        <v>11</v>
      </c>
      <c r="G71" s="40">
        <f>IF(tblSales[[#This Row],[Product ID]]="","",_xlfn.XLOOKUP(tblSales[[#This Row],[Product ID]],tblProducts[Product ID],tblProducts[Selling Price]))</f>
        <v>550</v>
      </c>
      <c r="H71">
        <f>IF(tblSales[[#This Row],[Product ID]]="","",tblSales[[#This Row],[Selling Price]]*tblSales[[#This Row],[Qty Sold]])</f>
        <v>6050</v>
      </c>
    </row>
    <row r="72" spans="1:8" x14ac:dyDescent="0.35">
      <c r="A72" s="3" t="s">
        <v>309</v>
      </c>
      <c r="B72" s="6">
        <v>46119</v>
      </c>
      <c r="C72" s="3" t="s">
        <v>153</v>
      </c>
      <c r="D72" s="3" t="s">
        <v>26</v>
      </c>
      <c r="E72" s="3" t="str">
        <f>IF(tblSales[[#This Row],[Product ID]]="","",(_xlfn.XLOOKUP(tblSales[[#This Row],[Product ID]],tblProducts[Product ID],tblProducts[Product Name])))</f>
        <v>USB Flash Drive 32GB</v>
      </c>
      <c r="F72" s="4">
        <v>20</v>
      </c>
      <c r="G72" s="40">
        <f>IF(tblSales[[#This Row],[Product ID]]="","",_xlfn.XLOOKUP(tblSales[[#This Row],[Product ID]],tblProducts[Product ID],tblProducts[Selling Price]))</f>
        <v>550</v>
      </c>
      <c r="H72">
        <f>IF(tblSales[[#This Row],[Product ID]]="","",tblSales[[#This Row],[Selling Price]]*tblSales[[#This Row],[Qty Sold]])</f>
        <v>11000</v>
      </c>
    </row>
    <row r="73" spans="1:8" x14ac:dyDescent="0.35">
      <c r="A73" s="3" t="s">
        <v>310</v>
      </c>
      <c r="B73" s="6">
        <v>46120</v>
      </c>
      <c r="C73" s="3" t="s">
        <v>155</v>
      </c>
      <c r="D73" s="3" t="s">
        <v>72</v>
      </c>
      <c r="E73" s="3" t="str">
        <f>IF(tblSales[[#This Row],[Product ID]]="","",(_xlfn.XLOOKUP(tblSales[[#This Row],[Product ID]],tblProducts[Product ID],tblProducts[Product Name])))</f>
        <v>File Folder</v>
      </c>
      <c r="F73" s="4">
        <v>85</v>
      </c>
      <c r="G73" s="40">
        <f>IF(tblSales[[#This Row],[Product ID]]="","",_xlfn.XLOOKUP(tblSales[[#This Row],[Product ID]],tblProducts[Product ID],tblProducts[Selling Price]))</f>
        <v>35</v>
      </c>
      <c r="H73">
        <f>IF(tblSales[[#This Row],[Product ID]]="","",tblSales[[#This Row],[Selling Price]]*tblSales[[#This Row],[Qty Sold]])</f>
        <v>2975</v>
      </c>
    </row>
    <row r="74" spans="1:8" x14ac:dyDescent="0.35">
      <c r="A74" s="3" t="s">
        <v>311</v>
      </c>
      <c r="B74" s="6">
        <v>46121</v>
      </c>
      <c r="C74" s="3" t="s">
        <v>157</v>
      </c>
      <c r="D74" s="3" t="s">
        <v>62</v>
      </c>
      <c r="E74" s="3" t="str">
        <f>IF(tblSales[[#This Row],[Product ID]]="","",(_xlfn.XLOOKUP(tblSales[[#This Row],[Product ID]],tblProducts[Product ID],tblProducts[Product Name])))</f>
        <v>Power Bank 10000mAh</v>
      </c>
      <c r="F74" s="4">
        <v>6</v>
      </c>
      <c r="G74" s="40">
        <f>IF(tblSales[[#This Row],[Product ID]]="","",_xlfn.XLOOKUP(tblSales[[#This Row],[Product ID]],tblProducts[Product ID],tblProducts[Selling Price]))</f>
        <v>1450</v>
      </c>
      <c r="H74">
        <f>IF(tblSales[[#This Row],[Product ID]]="","",tblSales[[#This Row],[Selling Price]]*tblSales[[#This Row],[Qty Sold]])</f>
        <v>8700</v>
      </c>
    </row>
    <row r="75" spans="1:8" x14ac:dyDescent="0.35">
      <c r="A75" s="3" t="s">
        <v>312</v>
      </c>
      <c r="B75" s="6">
        <v>46122</v>
      </c>
      <c r="C75" s="3" t="s">
        <v>159</v>
      </c>
      <c r="D75" s="3" t="s">
        <v>42</v>
      </c>
      <c r="E75" s="3" t="str">
        <f>IF(tblSales[[#This Row],[Product ID]]="","",(_xlfn.XLOOKUP(tblSales[[#This Row],[Product ID]],tblProducts[Product ID],tblProducts[Product Name])))</f>
        <v>Highlighter Set</v>
      </c>
      <c r="F75" s="4">
        <v>12</v>
      </c>
      <c r="G75" s="40">
        <f>IF(tblSales[[#This Row],[Product ID]]="","",_xlfn.XLOOKUP(tblSales[[#This Row],[Product ID]],tblProducts[Product ID],tblProducts[Selling Price]))</f>
        <v>160</v>
      </c>
      <c r="H75">
        <f>IF(tblSales[[#This Row],[Product ID]]="","",tblSales[[#This Row],[Selling Price]]*tblSales[[#This Row],[Qty Sold]])</f>
        <v>1920</v>
      </c>
    </row>
    <row r="76" spans="1:8" x14ac:dyDescent="0.35">
      <c r="A76" s="3" t="s">
        <v>313</v>
      </c>
      <c r="B76" s="6">
        <v>46123</v>
      </c>
      <c r="C76" s="3" t="s">
        <v>161</v>
      </c>
      <c r="D76" s="3" t="s">
        <v>47</v>
      </c>
      <c r="E76" s="3" t="str">
        <f>IF(tblSales[[#This Row],[Product ID]]="","",(_xlfn.XLOOKUP(tblSales[[#This Row],[Product ID]],tblProducts[Product ID],tblProducts[Product Name])))</f>
        <v>Study Table</v>
      </c>
      <c r="F76" s="4">
        <v>3</v>
      </c>
      <c r="G76" s="40">
        <f>IF(tblSales[[#This Row],[Product ID]]="","",_xlfn.XLOOKUP(tblSales[[#This Row],[Product ID]],tblProducts[Product ID],tblProducts[Selling Price]))</f>
        <v>6200</v>
      </c>
      <c r="H76">
        <f>IF(tblSales[[#This Row],[Product ID]]="","",tblSales[[#This Row],[Selling Price]]*tblSales[[#This Row],[Qty Sold]])</f>
        <v>18600</v>
      </c>
    </row>
    <row r="77" spans="1:8" x14ac:dyDescent="0.35">
      <c r="A77" s="3" t="s">
        <v>314</v>
      </c>
      <c r="B77" s="6">
        <v>46124</v>
      </c>
      <c r="C77" s="3" t="s">
        <v>163</v>
      </c>
      <c r="D77" s="3" t="s">
        <v>60</v>
      </c>
      <c r="E77" s="3" t="str">
        <f>IF(tblSales[[#This Row],[Product ID]]="","",(_xlfn.XLOOKUP(tblSales[[#This Row],[Product ID]],tblProducts[Product ID],tblProducts[Product Name])))</f>
        <v>Mobile Stand</v>
      </c>
      <c r="F77" s="4">
        <v>25</v>
      </c>
      <c r="G77" s="40">
        <f>IF(tblSales[[#This Row],[Product ID]]="","",_xlfn.XLOOKUP(tblSales[[#This Row],[Product ID]],tblProducts[Product ID],tblProducts[Selling Price]))</f>
        <v>180</v>
      </c>
      <c r="H77">
        <f>IF(tblSales[[#This Row],[Product ID]]="","",tblSales[[#This Row],[Selling Price]]*tblSales[[#This Row],[Qty Sold]])</f>
        <v>4500</v>
      </c>
    </row>
    <row r="78" spans="1:8" x14ac:dyDescent="0.35">
      <c r="A78" s="3" t="s">
        <v>315</v>
      </c>
      <c r="B78" s="6">
        <v>46125</v>
      </c>
      <c r="C78" s="3" t="s">
        <v>165</v>
      </c>
      <c r="D78" s="3" t="s">
        <v>64</v>
      </c>
      <c r="E78" s="3" t="str">
        <f>IF(tblSales[[#This Row],[Product ID]]="","",(_xlfn.XLOOKUP(tblSales[[#This Row],[Product ID]],tblProducts[Product ID],tblProducts[Product Name])))</f>
        <v>Bluetooth Speaker</v>
      </c>
      <c r="F78" s="4">
        <v>7</v>
      </c>
      <c r="G78" s="40">
        <f>IF(tblSales[[#This Row],[Product ID]]="","",_xlfn.XLOOKUP(tblSales[[#This Row],[Product ID]],tblProducts[Product ID],tblProducts[Selling Price]))</f>
        <v>1700</v>
      </c>
      <c r="H78">
        <f>IF(tblSales[[#This Row],[Product ID]]="","",tblSales[[#This Row],[Selling Price]]*tblSales[[#This Row],[Qty Sold]])</f>
        <v>11900</v>
      </c>
    </row>
    <row r="79" spans="1:8" x14ac:dyDescent="0.35">
      <c r="A79" s="3" t="s">
        <v>316</v>
      </c>
      <c r="B79" s="6">
        <v>46126</v>
      </c>
      <c r="C79" s="3" t="s">
        <v>167</v>
      </c>
      <c r="D79" s="3" t="s">
        <v>37</v>
      </c>
      <c r="E79" s="3" t="str">
        <f>IF(tblSales[[#This Row],[Product ID]]="","",(_xlfn.XLOOKUP(tblSales[[#This Row],[Product ID]],tblProducts[Product ID],tblProducts[Product Name])))</f>
        <v>Stapler</v>
      </c>
      <c r="F79" s="4">
        <v>10</v>
      </c>
      <c r="G79" s="40">
        <f>IF(tblSales[[#This Row],[Product ID]]="","",_xlfn.XLOOKUP(tblSales[[#This Row],[Product ID]],tblProducts[Product ID],tblProducts[Selling Price]))</f>
        <v>180</v>
      </c>
      <c r="H79">
        <f>IF(tblSales[[#This Row],[Product ID]]="","",tblSales[[#This Row],[Selling Price]]*tblSales[[#This Row],[Qty Sold]])</f>
        <v>1800</v>
      </c>
    </row>
    <row r="80" spans="1:8" x14ac:dyDescent="0.35">
      <c r="A80" s="3" t="s">
        <v>317</v>
      </c>
      <c r="B80" s="6">
        <v>46127</v>
      </c>
      <c r="C80" s="3" t="s">
        <v>169</v>
      </c>
      <c r="D80" s="3" t="s">
        <v>20</v>
      </c>
      <c r="E80" s="3" t="str">
        <f>IF(tblSales[[#This Row],[Product ID]]="","",(_xlfn.XLOOKUP(tblSales[[#This Row],[Product ID]],tblProducts[Product ID],tblProducts[Product Name])))</f>
        <v>Wireless Mouse</v>
      </c>
      <c r="F80" s="4">
        <v>18</v>
      </c>
      <c r="G80" s="40">
        <f>IF(tblSales[[#This Row],[Product ID]]="","",_xlfn.XLOOKUP(tblSales[[#This Row],[Product ID]],tblProducts[Product ID],tblProducts[Selling Price]))</f>
        <v>650</v>
      </c>
      <c r="H80">
        <f>IF(tblSales[[#This Row],[Product ID]]="","",tblSales[[#This Row],[Selling Price]]*tblSales[[#This Row],[Qty Sold]])</f>
        <v>11700</v>
      </c>
    </row>
    <row r="81" spans="1:8" x14ac:dyDescent="0.35">
      <c r="A81" s="3" t="s">
        <v>318</v>
      </c>
      <c r="B81" s="6">
        <v>46128</v>
      </c>
      <c r="C81" s="3" t="s">
        <v>171</v>
      </c>
      <c r="D81" s="3" t="s">
        <v>66</v>
      </c>
      <c r="E81" s="3" t="str">
        <f>IF(tblSales[[#This Row],[Product ID]]="","",(_xlfn.XLOOKUP(tblSales[[#This Row],[Product ID]],tblProducts[Product ID],tblProducts[Product Name])))</f>
        <v>Whiteboard Marker</v>
      </c>
      <c r="F81" s="4">
        <v>45</v>
      </c>
      <c r="G81" s="40">
        <f>IF(tblSales[[#This Row],[Product ID]]="","",_xlfn.XLOOKUP(tblSales[[#This Row],[Product ID]],tblProducts[Product ID],tblProducts[Selling Price]))</f>
        <v>55</v>
      </c>
      <c r="H81">
        <f>IF(tblSales[[#This Row],[Product ID]]="","",tblSales[[#This Row],[Selling Price]]*tblSales[[#This Row],[Qty Sold]])</f>
        <v>2475</v>
      </c>
    </row>
    <row r="82" spans="1:8" x14ac:dyDescent="0.35">
      <c r="A82" s="3" t="s">
        <v>319</v>
      </c>
      <c r="B82" s="6">
        <v>46129</v>
      </c>
      <c r="C82" s="3" t="s">
        <v>153</v>
      </c>
      <c r="D82" s="3" t="s">
        <v>39</v>
      </c>
      <c r="E82" s="3" t="str">
        <f>IF(tblSales[[#This Row],[Product ID]]="","",(_xlfn.XLOOKUP(tblSales[[#This Row],[Product ID]],tblProducts[Product ID],tblProducts[Product Name])))</f>
        <v>Printer Paper (500 Sheets)</v>
      </c>
      <c r="F82" s="4">
        <v>20</v>
      </c>
      <c r="G82" s="40">
        <f>IF(tblSales[[#This Row],[Product ID]]="","",_xlfn.XLOOKUP(tblSales[[#This Row],[Product ID]],tblProducts[Product ID],tblProducts[Selling Price]))</f>
        <v>320</v>
      </c>
      <c r="H82">
        <f>IF(tblSales[[#This Row],[Product ID]]="","",tblSales[[#This Row],[Selling Price]]*tblSales[[#This Row],[Qty Sold]])</f>
        <v>6400</v>
      </c>
    </row>
    <row r="83" spans="1:8" x14ac:dyDescent="0.35">
      <c r="A83" s="3" t="s">
        <v>320</v>
      </c>
      <c r="B83" s="6">
        <v>46130</v>
      </c>
      <c r="C83" s="3" t="s">
        <v>155</v>
      </c>
      <c r="D83" s="3" t="s">
        <v>32</v>
      </c>
      <c r="E83" s="3" t="str">
        <f>IF(tblSales[[#This Row],[Product ID]]="","",(_xlfn.XLOOKUP(tblSales[[#This Row],[Product ID]],tblProducts[Product ID],tblProducts[Product Name])))</f>
        <v>Notebook A5</v>
      </c>
      <c r="F83" s="4">
        <v>30</v>
      </c>
      <c r="G83" s="40">
        <f>IF(tblSales[[#This Row],[Product ID]]="","",_xlfn.XLOOKUP(tblSales[[#This Row],[Product ID]],tblProducts[Product ID],tblProducts[Selling Price]))</f>
        <v>80</v>
      </c>
      <c r="H83">
        <f>IF(tblSales[[#This Row],[Product ID]]="","",tblSales[[#This Row],[Selling Price]]*tblSales[[#This Row],[Qty Sold]])</f>
        <v>2400</v>
      </c>
    </row>
    <row r="84" spans="1:8" x14ac:dyDescent="0.35">
      <c r="A84" s="3" t="s">
        <v>321</v>
      </c>
      <c r="B84" s="6">
        <v>46131</v>
      </c>
      <c r="C84" s="3" t="s">
        <v>157</v>
      </c>
      <c r="D84" s="3" t="s">
        <v>58</v>
      </c>
      <c r="E84" s="3" t="str">
        <f>IF(tblSales[[#This Row],[Product ID]]="","",(_xlfn.XLOOKUP(tblSales[[#This Row],[Product ID]],tblProducts[Product ID],tblProducts[Product Name])))</f>
        <v>Laptop Backpack</v>
      </c>
      <c r="F84" s="4">
        <v>11</v>
      </c>
      <c r="G84" s="40">
        <f>IF(tblSales[[#This Row],[Product ID]]="","",_xlfn.XLOOKUP(tblSales[[#This Row],[Product ID]],tblProducts[Product ID],tblProducts[Selling Price]))</f>
        <v>1300</v>
      </c>
      <c r="H84">
        <f>IF(tblSales[[#This Row],[Product ID]]="","",tblSales[[#This Row],[Selling Price]]*tblSales[[#This Row],[Qty Sold]])</f>
        <v>14300</v>
      </c>
    </row>
    <row r="85" spans="1:8" x14ac:dyDescent="0.35">
      <c r="A85" s="3" t="s">
        <v>322</v>
      </c>
      <c r="B85" s="6">
        <v>46132</v>
      </c>
      <c r="C85" s="3" t="s">
        <v>159</v>
      </c>
      <c r="D85" s="3" t="s">
        <v>28</v>
      </c>
      <c r="E85" s="3" t="str">
        <f>IF(tblSales[[#This Row],[Product ID]]="","",(_xlfn.XLOOKUP(tblSales[[#This Row],[Product ID]],tblProducts[Product ID],tblProducts[Product Name])))</f>
        <v>External Hard Drive 1TB</v>
      </c>
      <c r="F85" s="4">
        <v>2</v>
      </c>
      <c r="G85" s="40">
        <f>IF(tblSales[[#This Row],[Product ID]]="","",_xlfn.XLOOKUP(tblSales[[#This Row],[Product ID]],tblProducts[Product ID],tblProducts[Selling Price]))</f>
        <v>4200</v>
      </c>
      <c r="H85">
        <f>IF(tblSales[[#This Row],[Product ID]]="","",tblSales[[#This Row],[Selling Price]]*tblSales[[#This Row],[Qty Sold]])</f>
        <v>8400</v>
      </c>
    </row>
    <row r="86" spans="1:8" x14ac:dyDescent="0.35">
      <c r="A86" s="3" t="s">
        <v>323</v>
      </c>
      <c r="B86" s="6">
        <v>46133</v>
      </c>
      <c r="C86" s="3" t="s">
        <v>161</v>
      </c>
      <c r="D86" s="3" t="s">
        <v>49</v>
      </c>
      <c r="E86" s="3" t="str">
        <f>IF(tblSales[[#This Row],[Product ID]]="","",(_xlfn.XLOOKUP(tblSales[[#This Row],[Product ID]],tblProducts[Product ID],tblProducts[Product Name])))</f>
        <v>Bookshelf</v>
      </c>
      <c r="F86" s="4">
        <v>2</v>
      </c>
      <c r="G86" s="40">
        <f>IF(tblSales[[#This Row],[Product ID]]="","",_xlfn.XLOOKUP(tblSales[[#This Row],[Product ID]],tblProducts[Product ID],tblProducts[Selling Price]))</f>
        <v>4200</v>
      </c>
      <c r="H86">
        <f>IF(tblSales[[#This Row],[Product ID]]="","",tblSales[[#This Row],[Selling Price]]*tblSales[[#This Row],[Qty Sold]])</f>
        <v>8400</v>
      </c>
    </row>
    <row r="87" spans="1:8" x14ac:dyDescent="0.35">
      <c r="A87" s="3" t="s">
        <v>324</v>
      </c>
      <c r="B87" s="6">
        <v>46134</v>
      </c>
      <c r="C87" s="3" t="s">
        <v>163</v>
      </c>
      <c r="D87" s="3" t="s">
        <v>51</v>
      </c>
      <c r="E87" s="3" t="str">
        <f>IF(tblSales[[#This Row],[Product ID]]="","",(_xlfn.XLOOKUP(tblSales[[#This Row],[Product ID]],tblProducts[Product ID],tblProducts[Product Name])))</f>
        <v>LED Desk Lamp</v>
      </c>
      <c r="F87" s="4">
        <v>8</v>
      </c>
      <c r="G87" s="40">
        <f>IF(tblSales[[#This Row],[Product ID]]="","",_xlfn.XLOOKUP(tblSales[[#This Row],[Product ID]],tblProducts[Product ID],tblProducts[Selling Price]))</f>
        <v>950</v>
      </c>
      <c r="H87">
        <f>IF(tblSales[[#This Row],[Product ID]]="","",tblSales[[#This Row],[Selling Price]]*tblSales[[#This Row],[Qty Sold]])</f>
        <v>7600</v>
      </c>
    </row>
    <row r="88" spans="1:8" x14ac:dyDescent="0.35">
      <c r="A88" s="3" t="s">
        <v>325</v>
      </c>
      <c r="B88" s="6">
        <v>46135</v>
      </c>
      <c r="C88" s="3" t="s">
        <v>165</v>
      </c>
      <c r="D88" s="3" t="s">
        <v>74</v>
      </c>
      <c r="E88" s="3" t="str">
        <f>IF(tblSales[[#This Row],[Product ID]]="","",(_xlfn.XLOOKUP(tblSales[[#This Row],[Product ID]],tblProducts[Product ID],tblProducts[Product Name])))</f>
        <v>Desk Organizer</v>
      </c>
      <c r="F88" s="4">
        <v>20</v>
      </c>
      <c r="G88" s="40">
        <f>IF(tblSales[[#This Row],[Product ID]]="","",_xlfn.XLOOKUP(tblSales[[#This Row],[Product ID]],tblProducts[Product ID],tblProducts[Selling Price]))</f>
        <v>380</v>
      </c>
      <c r="H88">
        <f>IF(tblSales[[#This Row],[Product ID]]="","",tblSales[[#This Row],[Selling Price]]*tblSales[[#This Row],[Qty Sold]])</f>
        <v>7600</v>
      </c>
    </row>
    <row r="89" spans="1:8" x14ac:dyDescent="0.35">
      <c r="A89" s="3" t="s">
        <v>326</v>
      </c>
      <c r="B89" s="6">
        <v>46136</v>
      </c>
      <c r="C89" s="3" t="s">
        <v>167</v>
      </c>
      <c r="D89" s="3" t="s">
        <v>70</v>
      </c>
      <c r="E89" s="3" t="str">
        <f>IF(tblSales[[#This Row],[Product ID]]="","",(_xlfn.XLOOKUP(tblSales[[#This Row],[Product ID]],tblProducts[Product ID],tblProducts[Product Name])))</f>
        <v>Extension Board</v>
      </c>
      <c r="F89" s="4">
        <v>15</v>
      </c>
      <c r="G89" s="40">
        <f>IF(tblSales[[#This Row],[Product ID]]="","",_xlfn.XLOOKUP(tblSales[[#This Row],[Product ID]],tblProducts[Product ID],tblProducts[Selling Price]))</f>
        <v>450</v>
      </c>
      <c r="H89">
        <f>IF(tblSales[[#This Row],[Product ID]]="","",tblSales[[#This Row],[Selling Price]]*tblSales[[#This Row],[Qty Sold]])</f>
        <v>6750</v>
      </c>
    </row>
    <row r="90" spans="1:8" x14ac:dyDescent="0.35">
      <c r="A90" s="3" t="s">
        <v>327</v>
      </c>
      <c r="B90" s="6">
        <v>46137</v>
      </c>
      <c r="C90" s="3" t="s">
        <v>169</v>
      </c>
      <c r="D90" s="3" t="s">
        <v>35</v>
      </c>
      <c r="E90" s="3" t="str">
        <f>IF(tblSales[[#This Row],[Product ID]]="","",(_xlfn.XLOOKUP(tblSales[[#This Row],[Product ID]],tblProducts[Product ID],tblProducts[Product Name])))</f>
        <v>Ball Pen</v>
      </c>
      <c r="F90" s="4">
        <v>100</v>
      </c>
      <c r="G90" s="40">
        <f>IF(tblSales[[#This Row],[Product ID]]="","",_xlfn.XLOOKUP(tblSales[[#This Row],[Product ID]],tblProducts[Product ID],tblProducts[Selling Price]))</f>
        <v>25</v>
      </c>
      <c r="H90">
        <f>IF(tblSales[[#This Row],[Product ID]]="","",tblSales[[#This Row],[Selling Price]]*tblSales[[#This Row],[Qty Sold]])</f>
        <v>2500</v>
      </c>
    </row>
    <row r="91" spans="1:8" x14ac:dyDescent="0.35">
      <c r="A91" s="3" t="s">
        <v>328</v>
      </c>
      <c r="B91" s="6">
        <v>46138</v>
      </c>
      <c r="C91" s="3" t="s">
        <v>171</v>
      </c>
      <c r="D91" s="3" t="s">
        <v>30</v>
      </c>
      <c r="E91" s="3" t="str">
        <f>IF(tblSales[[#This Row],[Product ID]]="","",(_xlfn.XLOOKUP(tblSales[[#This Row],[Product ID]],tblProducts[Product ID],tblProducts[Product Name])))</f>
        <v>HDMI Cable</v>
      </c>
      <c r="F91" s="4">
        <v>22</v>
      </c>
      <c r="G91" s="40">
        <f>IF(tblSales[[#This Row],[Product ID]]="","",_xlfn.XLOOKUP(tblSales[[#This Row],[Product ID]],tblProducts[Product ID],tblProducts[Selling Price]))</f>
        <v>350</v>
      </c>
      <c r="H91">
        <f>IF(tblSales[[#This Row],[Product ID]]="","",tblSales[[#This Row],[Selling Price]]*tblSales[[#This Row],[Qty Sold]])</f>
        <v>7700</v>
      </c>
    </row>
    <row r="92" spans="1:8" x14ac:dyDescent="0.35">
      <c r="A92" s="3" t="s">
        <v>329</v>
      </c>
      <c r="B92" s="6">
        <v>46139</v>
      </c>
      <c r="C92" s="3" t="s">
        <v>153</v>
      </c>
      <c r="D92" s="3" t="s">
        <v>44</v>
      </c>
      <c r="E92" s="3" t="str">
        <f>IF(tblSales[[#This Row],[Product ID]]="","",(_xlfn.XLOOKUP(tblSales[[#This Row],[Product ID]],tblProducts[Product ID],tblProducts[Product Name])))</f>
        <v>Office Chair</v>
      </c>
      <c r="F92" s="4">
        <v>2</v>
      </c>
      <c r="G92" s="40">
        <f>IF(tblSales[[#This Row],[Product ID]]="","",_xlfn.XLOOKUP(tblSales[[#This Row],[Product ID]],tblProducts[Product ID],tblProducts[Selling Price]))</f>
        <v>5000</v>
      </c>
      <c r="H92">
        <f>IF(tblSales[[#This Row],[Product ID]]="","",tblSales[[#This Row],[Selling Price]]*tblSales[[#This Row],[Qty Sold]])</f>
        <v>10000</v>
      </c>
    </row>
    <row r="93" spans="1:8" x14ac:dyDescent="0.35">
      <c r="A93" s="3" t="s">
        <v>330</v>
      </c>
      <c r="B93" s="6">
        <v>46140</v>
      </c>
      <c r="C93" s="3" t="s">
        <v>155</v>
      </c>
      <c r="D93" s="3" t="s">
        <v>64</v>
      </c>
      <c r="E93" s="3" t="str">
        <f>IF(tblSales[[#This Row],[Product ID]]="","",(_xlfn.XLOOKUP(tblSales[[#This Row],[Product ID]],tblProducts[Product ID],tblProducts[Product Name])))</f>
        <v>Bluetooth Speaker</v>
      </c>
      <c r="F93" s="4">
        <v>6</v>
      </c>
      <c r="G93" s="40">
        <f>IF(tblSales[[#This Row],[Product ID]]="","",_xlfn.XLOOKUP(tblSales[[#This Row],[Product ID]],tblProducts[Product ID],tblProducts[Selling Price]))</f>
        <v>1700</v>
      </c>
      <c r="H93">
        <f>IF(tblSales[[#This Row],[Product ID]]="","",tblSales[[#This Row],[Selling Price]]*tblSales[[#This Row],[Qty Sold]])</f>
        <v>10200</v>
      </c>
    </row>
    <row r="94" spans="1:8" x14ac:dyDescent="0.35">
      <c r="A94" s="3" t="s">
        <v>331</v>
      </c>
      <c r="B94" s="6">
        <v>46141</v>
      </c>
      <c r="C94" s="3" t="s">
        <v>157</v>
      </c>
      <c r="D94" s="3" t="s">
        <v>60</v>
      </c>
      <c r="E94" s="3" t="str">
        <f>IF(tblSales[[#This Row],[Product ID]]="","",(_xlfn.XLOOKUP(tblSales[[#This Row],[Product ID]],tblProducts[Product ID],tblProducts[Product Name])))</f>
        <v>Mobile Stand</v>
      </c>
      <c r="F94" s="4">
        <v>20</v>
      </c>
      <c r="G94" s="40">
        <f>IF(tblSales[[#This Row],[Product ID]]="","",_xlfn.XLOOKUP(tblSales[[#This Row],[Product ID]],tblProducts[Product ID],tblProducts[Selling Price]))</f>
        <v>180</v>
      </c>
      <c r="H94">
        <f>IF(tblSales[[#This Row],[Product ID]]="","",tblSales[[#This Row],[Selling Price]]*tblSales[[#This Row],[Qty Sold]])</f>
        <v>3600</v>
      </c>
    </row>
    <row r="95" spans="1:8" x14ac:dyDescent="0.35">
      <c r="A95" s="3" t="s">
        <v>332</v>
      </c>
      <c r="B95" s="6">
        <v>46142</v>
      </c>
      <c r="C95" s="3" t="s">
        <v>159</v>
      </c>
      <c r="D95" s="3" t="s">
        <v>72</v>
      </c>
      <c r="E95" s="3" t="str">
        <f>IF(tblSales[[#This Row],[Product ID]]="","",(_xlfn.XLOOKUP(tblSales[[#This Row],[Product ID]],tblProducts[Product ID],tblProducts[Product Name])))</f>
        <v>File Folder</v>
      </c>
      <c r="F95" s="4">
        <v>75</v>
      </c>
      <c r="G95" s="40">
        <f>IF(tblSales[[#This Row],[Product ID]]="","",_xlfn.XLOOKUP(tblSales[[#This Row],[Product ID]],tblProducts[Product ID],tblProducts[Selling Price]))</f>
        <v>35</v>
      </c>
      <c r="H95">
        <f>IF(tblSales[[#This Row],[Product ID]]="","",tblSales[[#This Row],[Selling Price]]*tblSales[[#This Row],[Qty Sold]])</f>
        <v>2625</v>
      </c>
    </row>
    <row r="96" spans="1:8" x14ac:dyDescent="0.35">
      <c r="A96" s="3" t="s">
        <v>333</v>
      </c>
      <c r="B96" s="6">
        <v>46143</v>
      </c>
      <c r="C96" s="3" t="s">
        <v>161</v>
      </c>
      <c r="D96" s="3" t="s">
        <v>24</v>
      </c>
      <c r="E96" s="3" t="str">
        <f>IF(tblSales[[#This Row],[Product ID]]="","",(_xlfn.XLOOKUP(tblSales[[#This Row],[Product ID]],tblProducts[Product ID],tblProducts[Product Name])))</f>
        <v>Wireless Keyboard</v>
      </c>
      <c r="F96" s="4">
        <v>7</v>
      </c>
      <c r="G96" s="40">
        <f>IF(tblSales[[#This Row],[Product ID]]="","",_xlfn.XLOOKUP(tblSales[[#This Row],[Product ID]],tblProducts[Product ID],tblProducts[Selling Price]))</f>
        <v>1300</v>
      </c>
      <c r="H96">
        <f>IF(tblSales[[#This Row],[Product ID]]="","",tblSales[[#This Row],[Selling Price]]*tblSales[[#This Row],[Qty Sold]])</f>
        <v>9100</v>
      </c>
    </row>
    <row r="97" spans="1:8" x14ac:dyDescent="0.35">
      <c r="A97" s="3" t="s">
        <v>334</v>
      </c>
      <c r="B97" s="6">
        <v>46144</v>
      </c>
      <c r="C97" s="3" t="s">
        <v>163</v>
      </c>
      <c r="D97" s="3" t="s">
        <v>26</v>
      </c>
      <c r="E97" s="3" t="str">
        <f>IF(tblSales[[#This Row],[Product ID]]="","",(_xlfn.XLOOKUP(tblSales[[#This Row],[Product ID]],tblProducts[Product ID],tblProducts[Product Name])))</f>
        <v>USB Flash Drive 32GB</v>
      </c>
      <c r="F97" s="4">
        <v>22</v>
      </c>
      <c r="G97" s="40">
        <f>IF(tblSales[[#This Row],[Product ID]]="","",_xlfn.XLOOKUP(tblSales[[#This Row],[Product ID]],tblProducts[Product ID],tblProducts[Selling Price]))</f>
        <v>550</v>
      </c>
      <c r="H97">
        <f>IF(tblSales[[#This Row],[Product ID]]="","",tblSales[[#This Row],[Selling Price]]*tblSales[[#This Row],[Qty Sold]])</f>
        <v>12100</v>
      </c>
    </row>
    <row r="98" spans="1:8" x14ac:dyDescent="0.35">
      <c r="A98" s="3" t="s">
        <v>335</v>
      </c>
      <c r="B98" s="6">
        <v>46145</v>
      </c>
      <c r="C98" s="3" t="s">
        <v>165</v>
      </c>
      <c r="D98" s="3" t="s">
        <v>55</v>
      </c>
      <c r="E98" s="3" t="str">
        <f>IF(tblSales[[#This Row],[Product ID]]="","",(_xlfn.XLOOKUP(tblSales[[#This Row],[Product ID]],tblProducts[Product ID],tblProducts[Product Name])))</f>
        <v>Water Bottle 1L</v>
      </c>
      <c r="F98" s="4">
        <v>35</v>
      </c>
      <c r="G98" s="40">
        <f>IF(tblSales[[#This Row],[Product ID]]="","",_xlfn.XLOOKUP(tblSales[[#This Row],[Product ID]],tblProducts[Product ID],tblProducts[Selling Price]))</f>
        <v>220</v>
      </c>
      <c r="H98">
        <f>IF(tblSales[[#This Row],[Product ID]]="","",tblSales[[#This Row],[Selling Price]]*tblSales[[#This Row],[Qty Sold]])</f>
        <v>7700</v>
      </c>
    </row>
    <row r="99" spans="1:8" x14ac:dyDescent="0.35">
      <c r="A99" s="3" t="s">
        <v>336</v>
      </c>
      <c r="B99" s="6">
        <v>46146</v>
      </c>
      <c r="C99" s="3" t="s">
        <v>167</v>
      </c>
      <c r="D99" s="3" t="s">
        <v>66</v>
      </c>
      <c r="E99" s="3" t="str">
        <f>IF(tblSales[[#This Row],[Product ID]]="","",(_xlfn.XLOOKUP(tblSales[[#This Row],[Product ID]],tblProducts[Product ID],tblProducts[Product Name])))</f>
        <v>Whiteboard Marker</v>
      </c>
      <c r="F99" s="4">
        <v>50</v>
      </c>
      <c r="G99" s="40">
        <f>IF(tblSales[[#This Row],[Product ID]]="","",_xlfn.XLOOKUP(tblSales[[#This Row],[Product ID]],tblProducts[Product ID],tblProducts[Selling Price]))</f>
        <v>55</v>
      </c>
      <c r="H99">
        <f>IF(tblSales[[#This Row],[Product ID]]="","",tblSales[[#This Row],[Selling Price]]*tblSales[[#This Row],[Qty Sold]])</f>
        <v>2750</v>
      </c>
    </row>
    <row r="100" spans="1:8" x14ac:dyDescent="0.35">
      <c r="A100" s="3" t="s">
        <v>337</v>
      </c>
      <c r="B100" s="6">
        <v>46147</v>
      </c>
      <c r="C100" s="3" t="s">
        <v>169</v>
      </c>
      <c r="D100" s="3" t="s">
        <v>39</v>
      </c>
      <c r="E100" s="3" t="str">
        <f>IF(tblSales[[#This Row],[Product ID]]="","",(_xlfn.XLOOKUP(tblSales[[#This Row],[Product ID]],tblProducts[Product ID],tblProducts[Product Name])))</f>
        <v>Printer Paper (500 Sheets)</v>
      </c>
      <c r="F100" s="4">
        <v>18</v>
      </c>
      <c r="G100" s="40">
        <f>IF(tblSales[[#This Row],[Product ID]]="","",_xlfn.XLOOKUP(tblSales[[#This Row],[Product ID]],tblProducts[Product ID],tblProducts[Selling Price]))</f>
        <v>320</v>
      </c>
      <c r="H100">
        <f>IF(tblSales[[#This Row],[Product ID]]="","",tblSales[[#This Row],[Selling Price]]*tblSales[[#This Row],[Qty Sold]])</f>
        <v>5760</v>
      </c>
    </row>
    <row r="101" spans="1:8" x14ac:dyDescent="0.35">
      <c r="A101" s="3" t="s">
        <v>338</v>
      </c>
      <c r="B101" s="6">
        <v>46148</v>
      </c>
      <c r="C101" s="3" t="s">
        <v>171</v>
      </c>
      <c r="D101" s="3" t="s">
        <v>68</v>
      </c>
      <c r="E101" s="3" t="str">
        <f>IF(tblSales[[#This Row],[Product ID]]="","",(_xlfn.XLOOKUP(tblSales[[#This Row],[Product ID]],tblProducts[Product ID],tblProducts[Product Name])))</f>
        <v>Calculator</v>
      </c>
      <c r="F101" s="4">
        <v>10</v>
      </c>
      <c r="G101" s="40">
        <f>IF(tblSales[[#This Row],[Product ID]]="","",_xlfn.XLOOKUP(tblSales[[#This Row],[Product ID]],tblProducts[Product ID],tblProducts[Selling Price]))</f>
        <v>550</v>
      </c>
      <c r="H101">
        <f>IF(tblSales[[#This Row],[Product ID]]="","",tblSales[[#This Row],[Selling Price]]*tblSales[[#This Row],[Qty Sold]])</f>
        <v>5500</v>
      </c>
    </row>
    <row r="102" spans="1:8" x14ac:dyDescent="0.35">
      <c r="A102" s="3" t="s">
        <v>339</v>
      </c>
      <c r="B102" s="6">
        <v>46149</v>
      </c>
      <c r="C102" s="3" t="s">
        <v>153</v>
      </c>
      <c r="D102" s="3" t="s">
        <v>20</v>
      </c>
      <c r="E102" s="3" t="str">
        <f>IF(tblSales[[#This Row],[Product ID]]="","",(_xlfn.XLOOKUP(tblSales[[#This Row],[Product ID]],tblProducts[Product ID],tblProducts[Product Name])))</f>
        <v>Wireless Mouse</v>
      </c>
      <c r="F102" s="4">
        <v>15</v>
      </c>
      <c r="G102" s="40">
        <f>IF(tblSales[[#This Row],[Product ID]]="","",_xlfn.XLOOKUP(tblSales[[#This Row],[Product ID]],tblProducts[Product ID],tblProducts[Selling Price]))</f>
        <v>650</v>
      </c>
      <c r="H102">
        <f>IF(tblSales[[#This Row],[Product ID]]="","",tblSales[[#This Row],[Selling Price]]*tblSales[[#This Row],[Qty Sold]])</f>
        <v>9750</v>
      </c>
    </row>
    <row r="103" spans="1:8" x14ac:dyDescent="0.35">
      <c r="A103" s="3" t="s">
        <v>340</v>
      </c>
      <c r="B103" s="6">
        <v>46150</v>
      </c>
      <c r="C103" s="3" t="s">
        <v>155</v>
      </c>
      <c r="D103" s="3" t="s">
        <v>58</v>
      </c>
      <c r="E103" s="3" t="str">
        <f>IF(tblSales[[#This Row],[Product ID]]="","",(_xlfn.XLOOKUP(tblSales[[#This Row],[Product ID]],tblProducts[Product ID],tblProducts[Product Name])))</f>
        <v>Laptop Backpack</v>
      </c>
      <c r="F103" s="4">
        <v>8</v>
      </c>
      <c r="G103" s="40">
        <f>IF(tblSales[[#This Row],[Product ID]]="","",_xlfn.XLOOKUP(tblSales[[#This Row],[Product ID]],tblProducts[Product ID],tblProducts[Selling Price]))</f>
        <v>1300</v>
      </c>
      <c r="H103">
        <f>IF(tblSales[[#This Row],[Product ID]]="","",tblSales[[#This Row],[Selling Price]]*tblSales[[#This Row],[Qty Sold]])</f>
        <v>10400</v>
      </c>
    </row>
    <row r="104" spans="1:8" x14ac:dyDescent="0.35">
      <c r="A104" s="3" t="s">
        <v>341</v>
      </c>
      <c r="B104" s="6">
        <v>46151</v>
      </c>
      <c r="C104" s="3" t="s">
        <v>157</v>
      </c>
      <c r="D104" s="3" t="s">
        <v>62</v>
      </c>
      <c r="E104" s="3" t="str">
        <f>IF(tblSales[[#This Row],[Product ID]]="","",(_xlfn.XLOOKUP(tblSales[[#This Row],[Product ID]],tblProducts[Product ID],tblProducts[Product Name])))</f>
        <v>Power Bank 10000mAh</v>
      </c>
      <c r="F104" s="4">
        <v>5</v>
      </c>
      <c r="G104" s="40">
        <f>IF(tblSales[[#This Row],[Product ID]]="","",_xlfn.XLOOKUP(tblSales[[#This Row],[Product ID]],tblProducts[Product ID],tblProducts[Selling Price]))</f>
        <v>1450</v>
      </c>
      <c r="H104">
        <f>IF(tblSales[[#This Row],[Product ID]]="","",tblSales[[#This Row],[Selling Price]]*tblSales[[#This Row],[Qty Sold]])</f>
        <v>7250</v>
      </c>
    </row>
    <row r="105" spans="1:8" x14ac:dyDescent="0.35">
      <c r="A105" s="3" t="s">
        <v>342</v>
      </c>
      <c r="B105" s="6">
        <v>46152</v>
      </c>
      <c r="C105" s="3" t="s">
        <v>159</v>
      </c>
      <c r="D105" s="3" t="s">
        <v>42</v>
      </c>
      <c r="E105" s="3" t="str">
        <f>IF(tblSales[[#This Row],[Product ID]]="","",(_xlfn.XLOOKUP(tblSales[[#This Row],[Product ID]],tblProducts[Product ID],tblProducts[Product Name])))</f>
        <v>Highlighter Set</v>
      </c>
      <c r="F105" s="4">
        <v>15</v>
      </c>
      <c r="G105" s="40">
        <f>IF(tblSales[[#This Row],[Product ID]]="","",_xlfn.XLOOKUP(tblSales[[#This Row],[Product ID]],tblProducts[Product ID],tblProducts[Selling Price]))</f>
        <v>160</v>
      </c>
      <c r="H105">
        <f>IF(tblSales[[#This Row],[Product ID]]="","",tblSales[[#This Row],[Selling Price]]*tblSales[[#This Row],[Qty Sold]])</f>
        <v>2400</v>
      </c>
    </row>
    <row r="106" spans="1:8" x14ac:dyDescent="0.35">
      <c r="A106" s="3" t="s">
        <v>343</v>
      </c>
      <c r="B106" s="6">
        <v>46153</v>
      </c>
      <c r="C106" s="3" t="s">
        <v>161</v>
      </c>
      <c r="D106" s="3" t="s">
        <v>32</v>
      </c>
      <c r="E106" s="3" t="str">
        <f>IF(tblSales[[#This Row],[Product ID]]="","",(_xlfn.XLOOKUP(tblSales[[#This Row],[Product ID]],tblProducts[Product ID],tblProducts[Product Name])))</f>
        <v>Notebook A5</v>
      </c>
      <c r="F106" s="4">
        <v>40</v>
      </c>
      <c r="G106" s="40">
        <f>IF(tblSales[[#This Row],[Product ID]]="","",_xlfn.XLOOKUP(tblSales[[#This Row],[Product ID]],tblProducts[Product ID],tblProducts[Selling Price]))</f>
        <v>80</v>
      </c>
      <c r="H106">
        <f>IF(tblSales[[#This Row],[Product ID]]="","",tblSales[[#This Row],[Selling Price]]*tblSales[[#This Row],[Qty Sold]])</f>
        <v>3200</v>
      </c>
    </row>
    <row r="107" spans="1:8" x14ac:dyDescent="0.35">
      <c r="A107" s="3" t="s">
        <v>344</v>
      </c>
      <c r="B107" s="6">
        <v>46154</v>
      </c>
      <c r="C107" s="3" t="s">
        <v>163</v>
      </c>
      <c r="D107" s="3" t="s">
        <v>35</v>
      </c>
      <c r="E107" s="3" t="str">
        <f>IF(tblSales[[#This Row],[Product ID]]="","",(_xlfn.XLOOKUP(tblSales[[#This Row],[Product ID]],tblProducts[Product ID],tblProducts[Product Name])))</f>
        <v>Ball Pen</v>
      </c>
      <c r="F107" s="4">
        <v>80</v>
      </c>
      <c r="G107" s="40">
        <f>IF(tblSales[[#This Row],[Product ID]]="","",_xlfn.XLOOKUP(tblSales[[#This Row],[Product ID]],tblProducts[Product ID],tblProducts[Selling Price]))</f>
        <v>25</v>
      </c>
      <c r="H107">
        <f>IF(tblSales[[#This Row],[Product ID]]="","",tblSales[[#This Row],[Selling Price]]*tblSales[[#This Row],[Qty Sold]])</f>
        <v>2000</v>
      </c>
    </row>
    <row r="108" spans="1:8" x14ac:dyDescent="0.35">
      <c r="A108" s="3" t="s">
        <v>345</v>
      </c>
      <c r="B108" s="6">
        <v>46155</v>
      </c>
      <c r="C108" s="3" t="s">
        <v>165</v>
      </c>
      <c r="D108" s="3" t="s">
        <v>30</v>
      </c>
      <c r="E108" s="3" t="str">
        <f>IF(tblSales[[#This Row],[Product ID]]="","",(_xlfn.XLOOKUP(tblSales[[#This Row],[Product ID]],tblProducts[Product ID],tblProducts[Product Name])))</f>
        <v>HDMI Cable</v>
      </c>
      <c r="F108" s="4">
        <v>18</v>
      </c>
      <c r="G108" s="40">
        <f>IF(tblSales[[#This Row],[Product ID]]="","",_xlfn.XLOOKUP(tblSales[[#This Row],[Product ID]],tblProducts[Product ID],tblProducts[Selling Price]))</f>
        <v>350</v>
      </c>
      <c r="H108">
        <f>IF(tblSales[[#This Row],[Product ID]]="","",tblSales[[#This Row],[Selling Price]]*tblSales[[#This Row],[Qty Sold]])</f>
        <v>6300</v>
      </c>
    </row>
    <row r="109" spans="1:8" x14ac:dyDescent="0.35">
      <c r="A109" s="3" t="s">
        <v>346</v>
      </c>
      <c r="B109" s="6">
        <v>46156</v>
      </c>
      <c r="C109" s="3" t="s">
        <v>167</v>
      </c>
      <c r="D109" s="3" t="s">
        <v>72</v>
      </c>
      <c r="E109" s="3" t="str">
        <f>IF(tblSales[[#This Row],[Product ID]]="","",(_xlfn.XLOOKUP(tblSales[[#This Row],[Product ID]],tblProducts[Product ID],tblProducts[Product Name])))</f>
        <v>File Folder</v>
      </c>
      <c r="F109" s="4">
        <v>90</v>
      </c>
      <c r="G109" s="40">
        <f>IF(tblSales[[#This Row],[Product ID]]="","",_xlfn.XLOOKUP(tblSales[[#This Row],[Product ID]],tblProducts[Product ID],tblProducts[Selling Price]))</f>
        <v>35</v>
      </c>
      <c r="H109">
        <f>IF(tblSales[[#This Row],[Product ID]]="","",tblSales[[#This Row],[Selling Price]]*tblSales[[#This Row],[Qty Sold]])</f>
        <v>3150</v>
      </c>
    </row>
    <row r="110" spans="1:8" x14ac:dyDescent="0.35">
      <c r="A110" s="3" t="s">
        <v>347</v>
      </c>
      <c r="B110" s="6">
        <v>46157</v>
      </c>
      <c r="C110" s="3" t="s">
        <v>169</v>
      </c>
      <c r="D110" s="3" t="s">
        <v>70</v>
      </c>
      <c r="E110" s="3" t="str">
        <f>IF(tblSales[[#This Row],[Product ID]]="","",(_xlfn.XLOOKUP(tblSales[[#This Row],[Product ID]],tblProducts[Product ID],tblProducts[Product Name])))</f>
        <v>Extension Board</v>
      </c>
      <c r="F110" s="4">
        <v>20</v>
      </c>
      <c r="G110" s="40">
        <f>IF(tblSales[[#This Row],[Product ID]]="","",_xlfn.XLOOKUP(tblSales[[#This Row],[Product ID]],tblProducts[Product ID],tblProducts[Selling Price]))</f>
        <v>450</v>
      </c>
      <c r="H110">
        <f>IF(tblSales[[#This Row],[Product ID]]="","",tblSales[[#This Row],[Selling Price]]*tblSales[[#This Row],[Qty Sold]])</f>
        <v>9000</v>
      </c>
    </row>
    <row r="111" spans="1:8" x14ac:dyDescent="0.35">
      <c r="A111" s="3" t="s">
        <v>348</v>
      </c>
      <c r="B111" s="6">
        <v>46158</v>
      </c>
      <c r="C111" s="3" t="s">
        <v>171</v>
      </c>
      <c r="D111" s="3" t="s">
        <v>55</v>
      </c>
      <c r="E111" s="3" t="str">
        <f>IF(tblSales[[#This Row],[Product ID]]="","",(_xlfn.XLOOKUP(tblSales[[#This Row],[Product ID]],tblProducts[Product ID],tblProducts[Product Name])))</f>
        <v>Water Bottle 1L</v>
      </c>
      <c r="F111" s="4">
        <v>25</v>
      </c>
      <c r="G111" s="40">
        <f>IF(tblSales[[#This Row],[Product ID]]="","",_xlfn.XLOOKUP(tblSales[[#This Row],[Product ID]],tblProducts[Product ID],tblProducts[Selling Price]))</f>
        <v>220</v>
      </c>
      <c r="H111">
        <f>IF(tblSales[[#This Row],[Product ID]]="","",tblSales[[#This Row],[Selling Price]]*tblSales[[#This Row],[Qty Sold]])</f>
        <v>5500</v>
      </c>
    </row>
    <row r="112" spans="1:8" x14ac:dyDescent="0.35">
      <c r="A112" s="3" t="s">
        <v>349</v>
      </c>
      <c r="B112" s="6">
        <v>46159</v>
      </c>
      <c r="C112" s="3" t="s">
        <v>153</v>
      </c>
      <c r="D112" s="3" t="s">
        <v>26</v>
      </c>
      <c r="E112" s="3" t="str">
        <f>IF(tblSales[[#This Row],[Product ID]]="","",(_xlfn.XLOOKUP(tblSales[[#This Row],[Product ID]],tblProducts[Product ID],tblProducts[Product Name])))</f>
        <v>USB Flash Drive 32GB</v>
      </c>
      <c r="F112" s="4">
        <v>16</v>
      </c>
      <c r="G112" s="40">
        <f>IF(tblSales[[#This Row],[Product ID]]="","",_xlfn.XLOOKUP(tblSales[[#This Row],[Product ID]],tblProducts[Product ID],tblProducts[Selling Price]))</f>
        <v>550</v>
      </c>
      <c r="H112">
        <f>IF(tblSales[[#This Row],[Product ID]]="","",tblSales[[#This Row],[Selling Price]]*tblSales[[#This Row],[Qty Sold]])</f>
        <v>8800</v>
      </c>
    </row>
    <row r="113" spans="1:8" x14ac:dyDescent="0.35">
      <c r="A113" s="3" t="s">
        <v>350</v>
      </c>
      <c r="B113" s="6">
        <v>46160</v>
      </c>
      <c r="C113" s="3" t="s">
        <v>155</v>
      </c>
      <c r="D113" s="3" t="s">
        <v>64</v>
      </c>
      <c r="E113" s="3" t="str">
        <f>IF(tblSales[[#This Row],[Product ID]]="","",(_xlfn.XLOOKUP(tblSales[[#This Row],[Product ID]],tblProducts[Product ID],tblProducts[Product Name])))</f>
        <v>Bluetooth Speaker</v>
      </c>
      <c r="F113" s="4">
        <v>5</v>
      </c>
      <c r="G113" s="40">
        <f>IF(tblSales[[#This Row],[Product ID]]="","",_xlfn.XLOOKUP(tblSales[[#This Row],[Product ID]],tblProducts[Product ID],tblProducts[Selling Price]))</f>
        <v>1700</v>
      </c>
      <c r="H113">
        <f>IF(tblSales[[#This Row],[Product ID]]="","",tblSales[[#This Row],[Selling Price]]*tblSales[[#This Row],[Qty Sold]])</f>
        <v>8500</v>
      </c>
    </row>
    <row r="114" spans="1:8" x14ac:dyDescent="0.35">
      <c r="A114" s="3" t="s">
        <v>351</v>
      </c>
      <c r="B114" s="6">
        <v>46161</v>
      </c>
      <c r="C114" s="3" t="s">
        <v>157</v>
      </c>
      <c r="D114" s="3" t="s">
        <v>51</v>
      </c>
      <c r="E114" s="3" t="str">
        <f>IF(tblSales[[#This Row],[Product ID]]="","",(_xlfn.XLOOKUP(tblSales[[#This Row],[Product ID]],tblProducts[Product ID],tblProducts[Product Name])))</f>
        <v>LED Desk Lamp</v>
      </c>
      <c r="F114" s="4">
        <v>9</v>
      </c>
      <c r="G114" s="40">
        <f>IF(tblSales[[#This Row],[Product ID]]="","",_xlfn.XLOOKUP(tblSales[[#This Row],[Product ID]],tblProducts[Product ID],tblProducts[Selling Price]))</f>
        <v>950</v>
      </c>
      <c r="H114">
        <f>IF(tblSales[[#This Row],[Product ID]]="","",tblSales[[#This Row],[Selling Price]]*tblSales[[#This Row],[Qty Sold]])</f>
        <v>8550</v>
      </c>
    </row>
    <row r="115" spans="1:8" x14ac:dyDescent="0.35">
      <c r="A115" s="3" t="s">
        <v>352</v>
      </c>
      <c r="B115" s="6">
        <v>46162</v>
      </c>
      <c r="C115" s="3" t="s">
        <v>159</v>
      </c>
      <c r="D115" s="3" t="s">
        <v>37</v>
      </c>
      <c r="E115" s="3" t="str">
        <f>IF(tblSales[[#This Row],[Product ID]]="","",(_xlfn.XLOOKUP(tblSales[[#This Row],[Product ID]],tblProducts[Product ID],tblProducts[Product Name])))</f>
        <v>Stapler</v>
      </c>
      <c r="F115" s="4">
        <v>11</v>
      </c>
      <c r="G115" s="40">
        <f>IF(tblSales[[#This Row],[Product ID]]="","",_xlfn.XLOOKUP(tblSales[[#This Row],[Product ID]],tblProducts[Product ID],tblProducts[Selling Price]))</f>
        <v>180</v>
      </c>
      <c r="H115">
        <f>IF(tblSales[[#This Row],[Product ID]]="","",tblSales[[#This Row],[Selling Price]]*tblSales[[#This Row],[Qty Sold]])</f>
        <v>1980</v>
      </c>
    </row>
    <row r="116" spans="1:8" x14ac:dyDescent="0.35">
      <c r="A116" s="3" t="s">
        <v>353</v>
      </c>
      <c r="B116" s="6">
        <v>46163</v>
      </c>
      <c r="C116" s="3" t="s">
        <v>161</v>
      </c>
      <c r="D116" s="3" t="s">
        <v>66</v>
      </c>
      <c r="E116" s="3" t="str">
        <f>IF(tblSales[[#This Row],[Product ID]]="","",(_xlfn.XLOOKUP(tblSales[[#This Row],[Product ID]],tblProducts[Product ID],tblProducts[Product Name])))</f>
        <v>Whiteboard Marker</v>
      </c>
      <c r="F116" s="4">
        <v>42</v>
      </c>
      <c r="G116" s="40">
        <f>IF(tblSales[[#This Row],[Product ID]]="","",_xlfn.XLOOKUP(tblSales[[#This Row],[Product ID]],tblProducts[Product ID],tblProducts[Selling Price]))</f>
        <v>55</v>
      </c>
      <c r="H116">
        <f>IF(tblSales[[#This Row],[Product ID]]="","",tblSales[[#This Row],[Selling Price]]*tblSales[[#This Row],[Qty Sold]])</f>
        <v>2310</v>
      </c>
    </row>
    <row r="117" spans="1:8" x14ac:dyDescent="0.35">
      <c r="A117" s="3" t="s">
        <v>354</v>
      </c>
      <c r="B117" s="6">
        <v>46164</v>
      </c>
      <c r="C117" s="3" t="s">
        <v>163</v>
      </c>
      <c r="D117" s="3" t="s">
        <v>74</v>
      </c>
      <c r="E117" s="3" t="str">
        <f>IF(tblSales[[#This Row],[Product ID]]="","",(_xlfn.XLOOKUP(tblSales[[#This Row],[Product ID]],tblProducts[Product ID],tblProducts[Product Name])))</f>
        <v>Desk Organizer</v>
      </c>
      <c r="F117" s="4">
        <v>18</v>
      </c>
      <c r="G117" s="40">
        <f>IF(tblSales[[#This Row],[Product ID]]="","",_xlfn.XLOOKUP(tblSales[[#This Row],[Product ID]],tblProducts[Product ID],tblProducts[Selling Price]))</f>
        <v>380</v>
      </c>
      <c r="H117">
        <f>IF(tblSales[[#This Row],[Product ID]]="","",tblSales[[#This Row],[Selling Price]]*tblSales[[#This Row],[Qty Sold]])</f>
        <v>6840</v>
      </c>
    </row>
    <row r="118" spans="1:8" x14ac:dyDescent="0.35">
      <c r="A118" s="3" t="s">
        <v>355</v>
      </c>
      <c r="B118" s="6">
        <v>46165</v>
      </c>
      <c r="C118" s="3" t="s">
        <v>165</v>
      </c>
      <c r="D118" s="3" t="s">
        <v>68</v>
      </c>
      <c r="E118" s="3" t="str">
        <f>IF(tblSales[[#This Row],[Product ID]]="","",(_xlfn.XLOOKUP(tblSales[[#This Row],[Product ID]],tblProducts[Product ID],tblProducts[Product Name])))</f>
        <v>Calculator</v>
      </c>
      <c r="F118" s="4">
        <v>10</v>
      </c>
      <c r="G118" s="40">
        <f>IF(tblSales[[#This Row],[Product ID]]="","",_xlfn.XLOOKUP(tblSales[[#This Row],[Product ID]],tblProducts[Product ID],tblProducts[Selling Price]))</f>
        <v>550</v>
      </c>
      <c r="H118">
        <f>IF(tblSales[[#This Row],[Product ID]]="","",tblSales[[#This Row],[Selling Price]]*tblSales[[#This Row],[Qty Sold]])</f>
        <v>5500</v>
      </c>
    </row>
    <row r="119" spans="1:8" x14ac:dyDescent="0.35">
      <c r="A119" s="3" t="s">
        <v>356</v>
      </c>
      <c r="B119" s="6">
        <v>46166</v>
      </c>
      <c r="C119" s="3" t="s">
        <v>167</v>
      </c>
      <c r="D119" s="3" t="s">
        <v>39</v>
      </c>
      <c r="E119" s="3" t="str">
        <f>IF(tblSales[[#This Row],[Product ID]]="","",(_xlfn.XLOOKUP(tblSales[[#This Row],[Product ID]],tblProducts[Product ID],tblProducts[Product Name])))</f>
        <v>Printer Paper (500 Sheets)</v>
      </c>
      <c r="F119" s="4">
        <v>17</v>
      </c>
      <c r="G119" s="40">
        <f>IF(tblSales[[#This Row],[Product ID]]="","",_xlfn.XLOOKUP(tblSales[[#This Row],[Product ID]],tblProducts[Product ID],tblProducts[Selling Price]))</f>
        <v>320</v>
      </c>
      <c r="H119">
        <f>IF(tblSales[[#This Row],[Product ID]]="","",tblSales[[#This Row],[Selling Price]]*tblSales[[#This Row],[Qty Sold]])</f>
        <v>5440</v>
      </c>
    </row>
    <row r="120" spans="1:8" x14ac:dyDescent="0.35">
      <c r="A120" s="3" t="s">
        <v>357</v>
      </c>
      <c r="B120" s="6">
        <v>46167</v>
      </c>
      <c r="C120" s="3" t="s">
        <v>169</v>
      </c>
      <c r="D120" s="3" t="s">
        <v>20</v>
      </c>
      <c r="E120" s="3" t="str">
        <f>IF(tblSales[[#This Row],[Product ID]]="","",(_xlfn.XLOOKUP(tblSales[[#This Row],[Product ID]],tblProducts[Product ID],tblProducts[Product Name])))</f>
        <v>Wireless Mouse</v>
      </c>
      <c r="F120" s="4">
        <v>14</v>
      </c>
      <c r="G120" s="40">
        <f>IF(tblSales[[#This Row],[Product ID]]="","",_xlfn.XLOOKUP(tblSales[[#This Row],[Product ID]],tblProducts[Product ID],tblProducts[Selling Price]))</f>
        <v>650</v>
      </c>
      <c r="H120">
        <f>IF(tblSales[[#This Row],[Product ID]]="","",tblSales[[#This Row],[Selling Price]]*tblSales[[#This Row],[Qty Sold]])</f>
        <v>9100</v>
      </c>
    </row>
    <row r="121" spans="1:8" x14ac:dyDescent="0.35">
      <c r="A121" s="3" t="s">
        <v>358</v>
      </c>
      <c r="B121" s="6">
        <v>46168</v>
      </c>
      <c r="C121" s="3" t="s">
        <v>171</v>
      </c>
      <c r="D121" s="3" t="s">
        <v>58</v>
      </c>
      <c r="E121" s="3" t="str">
        <f>IF(tblSales[[#This Row],[Product ID]]="","",(_xlfn.XLOOKUP(tblSales[[#This Row],[Product ID]],tblProducts[Product ID],tblProducts[Product Name])))</f>
        <v>Laptop Backpack</v>
      </c>
      <c r="F121" s="4">
        <v>9</v>
      </c>
      <c r="G121" s="40">
        <f>IF(tblSales[[#This Row],[Product ID]]="","",_xlfn.XLOOKUP(tblSales[[#This Row],[Product ID]],tblProducts[Product ID],tblProducts[Selling Price]))</f>
        <v>1300</v>
      </c>
      <c r="H121">
        <f>IF(tblSales[[#This Row],[Product ID]]="","",tblSales[[#This Row],[Selling Price]]*tblSales[[#This Row],[Qty Sold]])</f>
        <v>11700</v>
      </c>
    </row>
  </sheetData>
  <phoneticPr fontId="3"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92FF89A-384E-490D-865F-313C4DCA1668}">
          <x14:formula1>
            <xm:f>Lists!$B$2:$B$11</xm:f>
          </x14:formula1>
          <xm:sqref>C2:C121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06B67-BCF1-4BC7-A348-5906D2A9DD19}">
  <dimension ref="A1:K28"/>
  <sheetViews>
    <sheetView workbookViewId="0">
      <pane ySplit="1" topLeftCell="A2" activePane="bottomLeft" state="frozen"/>
      <selection pane="bottomLeft" activeCell="I29" sqref="I29"/>
    </sheetView>
  </sheetViews>
  <sheetFormatPr defaultRowHeight="14.5" x14ac:dyDescent="0.35"/>
  <cols>
    <col min="1" max="1" width="14.54296875" customWidth="1"/>
    <col min="2" max="2" width="22.6328125" bestFit="1" customWidth="1"/>
    <col min="3" max="3" width="14.26953125" hidden="1" customWidth="1"/>
    <col min="4" max="4" width="18.36328125" customWidth="1"/>
    <col min="5" max="5" width="17.81640625" hidden="1" customWidth="1"/>
    <col min="6" max="6" width="12.08984375" hidden="1" customWidth="1"/>
    <col min="7" max="7" width="15.6328125" customWidth="1"/>
    <col min="8" max="8" width="15.81640625" customWidth="1"/>
    <col min="9" max="9" width="19.453125" customWidth="1"/>
    <col min="10" max="10" width="21" customWidth="1"/>
    <col min="11" max="11" width="21.36328125" customWidth="1"/>
  </cols>
  <sheetData>
    <row r="1" spans="1:11" ht="23.5" customHeight="1" x14ac:dyDescent="0.35">
      <c r="A1" s="1" t="s">
        <v>0</v>
      </c>
      <c r="B1" s="1" t="s">
        <v>1</v>
      </c>
      <c r="C1" s="1" t="s">
        <v>2</v>
      </c>
      <c r="D1" s="1" t="s">
        <v>7</v>
      </c>
      <c r="E1" s="1" t="s">
        <v>173</v>
      </c>
      <c r="F1" s="1" t="s">
        <v>174</v>
      </c>
      <c r="G1" s="1" t="s">
        <v>250</v>
      </c>
      <c r="H1" s="1" t="s">
        <v>247</v>
      </c>
      <c r="I1" s="1" t="s">
        <v>175</v>
      </c>
      <c r="J1" s="1" t="s">
        <v>176</v>
      </c>
      <c r="K1" s="1" t="s">
        <v>177</v>
      </c>
    </row>
    <row r="2" spans="1:11" x14ac:dyDescent="0.35">
      <c r="A2" t="str">
        <f>tblProducts[[#This Row],[Product ID]]</f>
        <v>P001</v>
      </c>
      <c r="B2" t="str">
        <f>tblProducts[[#This Row],[Product Name]]</f>
        <v>Wireless Mouse</v>
      </c>
      <c r="C2" t="str">
        <f>_xlfn.XLOOKUP(tblInventoryReport[[#This Row],[Product ID]],tblProducts[Product ID],tblProducts[Category])</f>
        <v>Electronics</v>
      </c>
      <c r="D2">
        <f>_xlfn.XLOOKUP(tblInventoryReport[[#This Row],[Product ID]],tblProducts[Product ID],tblProducts[Opening Stock])</f>
        <v>100</v>
      </c>
      <c r="E2">
        <f>SUMIFS(tblPurchases[Qty Purchased],tblPurchases[Product ID],tblInventoryReport[[#This Row],[Product ID]])</f>
        <v>180</v>
      </c>
      <c r="F2">
        <f>SUMIFS(tblSales[Qty Sold],tblSales[Product ID],tblInventoryReport[[#This Row],[Product ID]])</f>
        <v>127</v>
      </c>
      <c r="G2">
        <f>_xlfn.XLOOKUP(tblInventoryReport[[#This Row],[Product ID]],tblProducts[Product ID],tblProducts[Cost Price])</f>
        <v>450</v>
      </c>
      <c r="H2">
        <f>_xlfn.XLOOKUP(tblInventoryReport[[#This Row],[Product ID]],tblProducts[Product ID],tblProducts[Selling Price])</f>
        <v>650</v>
      </c>
      <c r="I2">
        <f>tblInventoryReport[[#This Row],[Opening Stock]]+tblInventoryReport[[#This Row],[Purchased Qty]]-tblInventoryReport[[#This Row],[Sold Qty]]</f>
        <v>153</v>
      </c>
      <c r="J2">
        <f>tblInventoryReport[[#This Row],[Current Stock]]*tblInventoryReport[[#This Row],[Cost Value]]</f>
        <v>68850</v>
      </c>
      <c r="K2" t="str">
        <f>IF(tblInventoryReport[[#This Row],[Current Stock]] = 0,"Out of Stock",IF(tblInventoryReport[[#This Row],[Current Stock]]&lt;=_xlfn.XLOOKUP(tblInventoryReport[[#This Row],[Product ID]],tblProducts[Product ID],tblProducts[Reorder Level]),"Low Stock", "In Stock"))</f>
        <v>In Stock</v>
      </c>
    </row>
    <row r="3" spans="1:11" x14ac:dyDescent="0.35">
      <c r="A3" t="str">
        <f>tblProducts[[#This Row],[Product ID]]</f>
        <v>P002</v>
      </c>
      <c r="B3" t="str">
        <f>tblProducts[[#This Row],[Product Name]]</f>
        <v>Wireless Keyboard</v>
      </c>
      <c r="C3" t="str">
        <f>_xlfn.XLOOKUP(tblInventoryReport[[#This Row],[Product ID]],tblProducts[Product ID],tblProducts[Category])</f>
        <v>Electronics</v>
      </c>
      <c r="D3">
        <f>_xlfn.XLOOKUP(tblInventoryReport[[#This Row],[Product ID]],tblProducts[Product ID],tblProducts[Opening Stock])</f>
        <v>80</v>
      </c>
      <c r="E3">
        <f>SUMIFS(tblPurchases[Qty Purchased],tblPurchases[Product ID],tblInventoryReport[[#This Row],[Product ID]])</f>
        <v>55</v>
      </c>
      <c r="F3">
        <f>SUMIFS(tblSales[Qty Sold],tblSales[Product ID],tblInventoryReport[[#This Row],[Product ID]])</f>
        <v>25</v>
      </c>
      <c r="G3">
        <f>_xlfn.XLOOKUP(tblInventoryReport[[#This Row],[Product ID]],tblProducts[Product ID],tblProducts[Cost Price])</f>
        <v>900</v>
      </c>
      <c r="H3">
        <f>_xlfn.XLOOKUP(tblInventoryReport[[#This Row],[Product ID]],tblProducts[Product ID],tblProducts[Selling Price])</f>
        <v>1300</v>
      </c>
      <c r="I3">
        <f>tblInventoryReport[[#This Row],[Opening Stock]]+tblInventoryReport[[#This Row],[Purchased Qty]]-tblInventoryReport[[#This Row],[Sold Qty]]</f>
        <v>110</v>
      </c>
      <c r="J3">
        <f>tblInventoryReport[[#This Row],[Current Stock]]*tblInventoryReport[[#This Row],[Cost Value]]</f>
        <v>99000</v>
      </c>
      <c r="K3" t="str">
        <f>IF(tblInventoryReport[[#This Row],[Current Stock]] = 0,"Out of Stock",IF(tblInventoryReport[[#This Row],[Current Stock]]&lt;=_xlfn.XLOOKUP(tblInventoryReport[[#This Row],[Product ID]],tblProducts[Product ID],tblProducts[Reorder Level]),"Low Stock", "In Stock"))</f>
        <v>In Stock</v>
      </c>
    </row>
    <row r="4" spans="1:11" x14ac:dyDescent="0.35">
      <c r="A4" t="str">
        <f>tblProducts[[#This Row],[Product ID]]</f>
        <v>P003</v>
      </c>
      <c r="B4" t="str">
        <f>tblProducts[[#This Row],[Product Name]]</f>
        <v>USB Flash Drive 32GB</v>
      </c>
      <c r="C4" t="str">
        <f>_xlfn.XLOOKUP(tblInventoryReport[[#This Row],[Product ID]],tblProducts[Product ID],tblProducts[Category])</f>
        <v>Electronics</v>
      </c>
      <c r="D4">
        <f>_xlfn.XLOOKUP(tblInventoryReport[[#This Row],[Product ID]],tblProducts[Product ID],tblProducts[Opening Stock])</f>
        <v>120</v>
      </c>
      <c r="E4">
        <f>SUMIFS(tblPurchases[Qty Purchased],tblPurchases[Product ID],tblInventoryReport[[#This Row],[Product ID]])</f>
        <v>210</v>
      </c>
      <c r="F4">
        <f>SUMIFS(tblSales[Qty Sold],tblSales[Product ID],tblInventoryReport[[#This Row],[Product ID]])</f>
        <v>125</v>
      </c>
      <c r="G4">
        <f>_xlfn.XLOOKUP(tblInventoryReport[[#This Row],[Product ID]],tblProducts[Product ID],tblProducts[Cost Price])</f>
        <v>350</v>
      </c>
      <c r="H4">
        <f>_xlfn.XLOOKUP(tblInventoryReport[[#This Row],[Product ID]],tblProducts[Product ID],tblProducts[Selling Price])</f>
        <v>550</v>
      </c>
      <c r="I4">
        <f>tblInventoryReport[[#This Row],[Opening Stock]]+tblInventoryReport[[#This Row],[Purchased Qty]]-tblInventoryReport[[#This Row],[Sold Qty]]</f>
        <v>205</v>
      </c>
      <c r="J4">
        <f>tblInventoryReport[[#This Row],[Current Stock]]*tblInventoryReport[[#This Row],[Cost Value]]</f>
        <v>71750</v>
      </c>
      <c r="K4" t="str">
        <f>IF(tblInventoryReport[[#This Row],[Current Stock]] = 0,"Out of Stock",IF(tblInventoryReport[[#This Row],[Current Stock]]&lt;=_xlfn.XLOOKUP(tblInventoryReport[[#This Row],[Product ID]],tblProducts[Product ID],tblProducts[Reorder Level]),"Low Stock", "In Stock"))</f>
        <v>In Stock</v>
      </c>
    </row>
    <row r="5" spans="1:11" x14ac:dyDescent="0.35">
      <c r="A5" t="str">
        <f>tblProducts[[#This Row],[Product ID]]</f>
        <v>P004</v>
      </c>
      <c r="B5" t="str">
        <f>tblProducts[[#This Row],[Product Name]]</f>
        <v>External Hard Drive 1TB</v>
      </c>
      <c r="C5" t="str">
        <f>_xlfn.XLOOKUP(tblInventoryReport[[#This Row],[Product ID]],tblProducts[Product ID],tblProducts[Category])</f>
        <v>Electronics</v>
      </c>
      <c r="D5">
        <f>_xlfn.XLOOKUP(tblInventoryReport[[#This Row],[Product ID]],tblProducts[Product ID],tblProducts[Opening Stock])</f>
        <v>40</v>
      </c>
      <c r="E5">
        <f>SUMIFS(tblPurchases[Qty Purchased],tblPurchases[Product ID],tblInventoryReport[[#This Row],[Product ID]])</f>
        <v>22</v>
      </c>
      <c r="F5">
        <f>SUMIFS(tblSales[Qty Sold],tblSales[Product ID],tblInventoryReport[[#This Row],[Product ID]])</f>
        <v>9</v>
      </c>
      <c r="G5">
        <f>_xlfn.XLOOKUP(tblInventoryReport[[#This Row],[Product ID]],tblProducts[Product ID],tblProducts[Cost Price])</f>
        <v>3200</v>
      </c>
      <c r="H5">
        <f>_xlfn.XLOOKUP(tblInventoryReport[[#This Row],[Product ID]],tblProducts[Product ID],tblProducts[Selling Price])</f>
        <v>4200</v>
      </c>
      <c r="I5">
        <f>tblInventoryReport[[#This Row],[Opening Stock]]+tblInventoryReport[[#This Row],[Purchased Qty]]-tblInventoryReport[[#This Row],[Sold Qty]]</f>
        <v>53</v>
      </c>
      <c r="J5">
        <f>tblInventoryReport[[#This Row],[Current Stock]]*tblInventoryReport[[#This Row],[Cost Value]]</f>
        <v>169600</v>
      </c>
      <c r="K5" t="str">
        <f>IF(tblInventoryReport[[#This Row],[Current Stock]] = 0,"Out of Stock",IF(tblInventoryReport[[#This Row],[Current Stock]]&lt;=_xlfn.XLOOKUP(tblInventoryReport[[#This Row],[Product ID]],tblProducts[Product ID],tblProducts[Reorder Level]),"Low Stock", "In Stock"))</f>
        <v>In Stock</v>
      </c>
    </row>
    <row r="6" spans="1:11" x14ac:dyDescent="0.35">
      <c r="A6" t="str">
        <f>tblProducts[[#This Row],[Product ID]]</f>
        <v>P005</v>
      </c>
      <c r="B6" t="str">
        <f>tblProducts[[#This Row],[Product Name]]</f>
        <v>HDMI Cable</v>
      </c>
      <c r="C6" t="str">
        <f>_xlfn.XLOOKUP(tblInventoryReport[[#This Row],[Product ID]],tblProducts[Product ID],tblProducts[Category])</f>
        <v>Electronics</v>
      </c>
      <c r="D6">
        <f>_xlfn.XLOOKUP(tblInventoryReport[[#This Row],[Product ID]],tblProducts[Product ID],tblProducts[Opening Stock])</f>
        <v>150</v>
      </c>
      <c r="E6">
        <f>SUMIFS(tblPurchases[Qty Purchased],tblPurchases[Product ID],tblInventoryReport[[#This Row],[Product ID]])</f>
        <v>190</v>
      </c>
      <c r="F6">
        <f>SUMIFS(tblSales[Qty Sold],tblSales[Product ID],tblInventoryReport[[#This Row],[Product ID]])</f>
        <v>129</v>
      </c>
      <c r="G6">
        <f>_xlfn.XLOOKUP(tblInventoryReport[[#This Row],[Product ID]],tblProducts[Product ID],tblProducts[Cost Price])</f>
        <v>180</v>
      </c>
      <c r="H6">
        <f>_xlfn.XLOOKUP(tblInventoryReport[[#This Row],[Product ID]],tblProducts[Product ID],tblProducts[Selling Price])</f>
        <v>350</v>
      </c>
      <c r="I6">
        <f>tblInventoryReport[[#This Row],[Opening Stock]]+tblInventoryReport[[#This Row],[Purchased Qty]]-tblInventoryReport[[#This Row],[Sold Qty]]</f>
        <v>211</v>
      </c>
      <c r="J6">
        <f>tblInventoryReport[[#This Row],[Current Stock]]*tblInventoryReport[[#This Row],[Cost Value]]</f>
        <v>37980</v>
      </c>
      <c r="K6" t="str">
        <f>IF(tblInventoryReport[[#This Row],[Current Stock]] = 0,"Out of Stock",IF(tblInventoryReport[[#This Row],[Current Stock]]&lt;=_xlfn.XLOOKUP(tblInventoryReport[[#This Row],[Product ID]],tblProducts[Product ID],tblProducts[Reorder Level]),"Low Stock", "In Stock"))</f>
        <v>In Stock</v>
      </c>
    </row>
    <row r="7" spans="1:11" x14ac:dyDescent="0.35">
      <c r="A7" t="str">
        <f>tblProducts[[#This Row],[Product ID]]</f>
        <v>P006</v>
      </c>
      <c r="B7" t="str">
        <f>tblProducts[[#This Row],[Product Name]]</f>
        <v>Notebook A5</v>
      </c>
      <c r="C7" t="str">
        <f>_xlfn.XLOOKUP(tblInventoryReport[[#This Row],[Product ID]],tblProducts[Product ID],tblProducts[Category])</f>
        <v>Stationery</v>
      </c>
      <c r="D7">
        <f>_xlfn.XLOOKUP(tblInventoryReport[[#This Row],[Product ID]],tblProducts[Product ID],tblProducts[Opening Stock])</f>
        <v>300</v>
      </c>
      <c r="E7">
        <f>SUMIFS(tblPurchases[Qty Purchased],tblPurchases[Product ID],tblInventoryReport[[#This Row],[Product ID]])</f>
        <v>270</v>
      </c>
      <c r="F7">
        <f>SUMIFS(tblSales[Qty Sold],tblSales[Product ID],tblInventoryReport[[#This Row],[Product ID]])</f>
        <v>208</v>
      </c>
      <c r="G7">
        <f>_xlfn.XLOOKUP(tblInventoryReport[[#This Row],[Product ID]],tblProducts[Product ID],tblProducts[Cost Price])</f>
        <v>45</v>
      </c>
      <c r="H7">
        <f>_xlfn.XLOOKUP(tblInventoryReport[[#This Row],[Product ID]],tblProducts[Product ID],tblProducts[Selling Price])</f>
        <v>80</v>
      </c>
      <c r="I7">
        <f>tblInventoryReport[[#This Row],[Opening Stock]]+tblInventoryReport[[#This Row],[Purchased Qty]]-tblInventoryReport[[#This Row],[Sold Qty]]</f>
        <v>362</v>
      </c>
      <c r="J7">
        <f>tblInventoryReport[[#This Row],[Current Stock]]*tblInventoryReport[[#This Row],[Cost Value]]</f>
        <v>16290</v>
      </c>
      <c r="K7" t="str">
        <f>IF(tblInventoryReport[[#This Row],[Current Stock]] = 0,"Out of Stock",IF(tblInventoryReport[[#This Row],[Current Stock]]&lt;=_xlfn.XLOOKUP(tblInventoryReport[[#This Row],[Product ID]],tblProducts[Product ID],tblProducts[Reorder Level]),"Low Stock", "In Stock"))</f>
        <v>In Stock</v>
      </c>
    </row>
    <row r="8" spans="1:11" x14ac:dyDescent="0.35">
      <c r="A8" t="str">
        <f>tblProducts[[#This Row],[Product ID]]</f>
        <v>P007</v>
      </c>
      <c r="B8" t="str">
        <f>tblProducts[[#This Row],[Product Name]]</f>
        <v>Ball Pen</v>
      </c>
      <c r="C8" t="str">
        <f>_xlfn.XLOOKUP(tblInventoryReport[[#This Row],[Product ID]],tblProducts[Product ID],tblProducts[Category])</f>
        <v>Stationery</v>
      </c>
      <c r="D8">
        <f>_xlfn.XLOOKUP(tblInventoryReport[[#This Row],[Product ID]],tblProducts[Product ID],tblProducts[Opening Stock])</f>
        <v>500</v>
      </c>
      <c r="E8">
        <f>SUMIFS(tblPurchases[Qty Purchased],tblPurchases[Product ID],tblInventoryReport[[#This Row],[Product ID]])</f>
        <v>780</v>
      </c>
      <c r="F8">
        <f>SUMIFS(tblSales[Qty Sold],tblSales[Product ID],tblInventoryReport[[#This Row],[Product ID]])</f>
        <v>520</v>
      </c>
      <c r="G8">
        <f>_xlfn.XLOOKUP(tblInventoryReport[[#This Row],[Product ID]],tblProducts[Product ID],tblProducts[Cost Price])</f>
        <v>12</v>
      </c>
      <c r="H8">
        <f>_xlfn.XLOOKUP(tblInventoryReport[[#This Row],[Product ID]],tblProducts[Product ID],tblProducts[Selling Price])</f>
        <v>25</v>
      </c>
      <c r="I8">
        <f>tblInventoryReport[[#This Row],[Opening Stock]]+tblInventoryReport[[#This Row],[Purchased Qty]]-tblInventoryReport[[#This Row],[Sold Qty]]</f>
        <v>760</v>
      </c>
      <c r="J8">
        <f>tblInventoryReport[[#This Row],[Current Stock]]*tblInventoryReport[[#This Row],[Cost Value]]</f>
        <v>9120</v>
      </c>
      <c r="K8" t="str">
        <f>IF(tblInventoryReport[[#This Row],[Current Stock]] = 0,"Out of Stock",IF(tblInventoryReport[[#This Row],[Current Stock]]&lt;=_xlfn.XLOOKUP(tblInventoryReport[[#This Row],[Product ID]],tblProducts[Product ID],tblProducts[Reorder Level]),"Low Stock", "In Stock"))</f>
        <v>In Stock</v>
      </c>
    </row>
    <row r="9" spans="1:11" x14ac:dyDescent="0.35">
      <c r="A9" t="str">
        <f>tblProducts[[#This Row],[Product ID]]</f>
        <v>P008</v>
      </c>
      <c r="B9" t="str">
        <f>tblProducts[[#This Row],[Product Name]]</f>
        <v>Stapler</v>
      </c>
      <c r="C9" t="str">
        <f>_xlfn.XLOOKUP(tblInventoryReport[[#This Row],[Product ID]],tblProducts[Product ID],tblProducts[Category])</f>
        <v>Stationery</v>
      </c>
      <c r="D9">
        <f>_xlfn.XLOOKUP(tblInventoryReport[[#This Row],[Product ID]],tblProducts[Product ID],tblProducts[Opening Stock])</f>
        <v>90</v>
      </c>
      <c r="E9">
        <f>SUMIFS(tblPurchases[Qty Purchased],tblPurchases[Product ID],tblInventoryReport[[#This Row],[Product ID]])</f>
        <v>85</v>
      </c>
      <c r="F9">
        <f>SUMIFS(tblSales[Qty Sold],tblSales[Product ID],tblInventoryReport[[#This Row],[Product ID]])</f>
        <v>43</v>
      </c>
      <c r="G9">
        <f>_xlfn.XLOOKUP(tblInventoryReport[[#This Row],[Product ID]],tblProducts[Product ID],tblProducts[Cost Price])</f>
        <v>110</v>
      </c>
      <c r="H9">
        <f>_xlfn.XLOOKUP(tblInventoryReport[[#This Row],[Product ID]],tblProducts[Product ID],tblProducts[Selling Price])</f>
        <v>180</v>
      </c>
      <c r="I9">
        <f>tblInventoryReport[[#This Row],[Opening Stock]]+tblInventoryReport[[#This Row],[Purchased Qty]]-tblInventoryReport[[#This Row],[Sold Qty]]</f>
        <v>132</v>
      </c>
      <c r="J9">
        <f>tblInventoryReport[[#This Row],[Current Stock]]*tblInventoryReport[[#This Row],[Cost Value]]</f>
        <v>14520</v>
      </c>
      <c r="K9" t="str">
        <f>IF(tblInventoryReport[[#This Row],[Current Stock]] = 0,"Out of Stock",IF(tblInventoryReport[[#This Row],[Current Stock]]&lt;=_xlfn.XLOOKUP(tblInventoryReport[[#This Row],[Product ID]],tblProducts[Product ID],tblProducts[Reorder Level]),"Low Stock", "In Stock"))</f>
        <v>In Stock</v>
      </c>
    </row>
    <row r="10" spans="1:11" x14ac:dyDescent="0.35">
      <c r="A10" t="str">
        <f>tblProducts[[#This Row],[Product ID]]</f>
        <v>P009</v>
      </c>
      <c r="B10" t="str">
        <f>tblProducts[[#This Row],[Product Name]]</f>
        <v>Printer Paper (500 Sheets)</v>
      </c>
      <c r="C10" t="str">
        <f>_xlfn.XLOOKUP(tblInventoryReport[[#This Row],[Product ID]],tblProducts[Product ID],tblProducts[Category])</f>
        <v>Stationery</v>
      </c>
      <c r="D10">
        <f>_xlfn.XLOOKUP(tblInventoryReport[[#This Row],[Product ID]],tblProducts[Product ID],tblProducts[Opening Stock])</f>
        <v>100</v>
      </c>
      <c r="E10">
        <f>SUMIFS(tblPurchases[Qty Purchased],tblPurchases[Product ID],tblInventoryReport[[#This Row],[Product ID]])</f>
        <v>180</v>
      </c>
      <c r="F10">
        <f>SUMIFS(tblSales[Qty Sold],tblSales[Product ID],tblInventoryReport[[#This Row],[Product ID]])</f>
        <v>111</v>
      </c>
      <c r="G10">
        <f>_xlfn.XLOOKUP(tblInventoryReport[[#This Row],[Product ID]],tblProducts[Product ID],tblProducts[Cost Price])</f>
        <v>220</v>
      </c>
      <c r="H10">
        <f>_xlfn.XLOOKUP(tblInventoryReport[[#This Row],[Product ID]],tblProducts[Product ID],tblProducts[Selling Price])</f>
        <v>320</v>
      </c>
      <c r="I10">
        <f>tblInventoryReport[[#This Row],[Opening Stock]]+tblInventoryReport[[#This Row],[Purchased Qty]]-tblInventoryReport[[#This Row],[Sold Qty]]</f>
        <v>169</v>
      </c>
      <c r="J10">
        <f>tblInventoryReport[[#This Row],[Current Stock]]*tblInventoryReport[[#This Row],[Cost Value]]</f>
        <v>37180</v>
      </c>
      <c r="K10" t="str">
        <f>IF(tblInventoryReport[[#This Row],[Current Stock]] = 0,"Out of Stock",IF(tblInventoryReport[[#This Row],[Current Stock]]&lt;=_xlfn.XLOOKUP(tblInventoryReport[[#This Row],[Product ID]],tblProducts[Product ID],tblProducts[Reorder Level]),"Low Stock", "In Stock"))</f>
        <v>In Stock</v>
      </c>
    </row>
    <row r="11" spans="1:11" x14ac:dyDescent="0.35">
      <c r="A11" t="str">
        <f>tblProducts[[#This Row],[Product ID]]</f>
        <v>P010</v>
      </c>
      <c r="B11" t="str">
        <f>tblProducts[[#This Row],[Product Name]]</f>
        <v>Highlighter Set</v>
      </c>
      <c r="C11" t="str">
        <f>_xlfn.XLOOKUP(tblInventoryReport[[#This Row],[Product ID]],tblProducts[Product ID],tblProducts[Category])</f>
        <v>Stationery</v>
      </c>
      <c r="D11">
        <f>_xlfn.XLOOKUP(tblInventoryReport[[#This Row],[Product ID]],tblProducts[Product ID],tblProducts[Opening Stock])</f>
        <v>75</v>
      </c>
      <c r="E11">
        <f>SUMIFS(tblPurchases[Qty Purchased],tblPurchases[Product ID],tblInventoryReport[[#This Row],[Product ID]])</f>
        <v>90</v>
      </c>
      <c r="F11">
        <f>SUMIFS(tblSales[Qty Sold],tblSales[Product ID],tblInventoryReport[[#This Row],[Product ID]])</f>
        <v>56</v>
      </c>
      <c r="G11">
        <f>_xlfn.XLOOKUP(tblInventoryReport[[#This Row],[Product ID]],tblProducts[Product ID],tblProducts[Cost Price])</f>
        <v>95</v>
      </c>
      <c r="H11">
        <f>_xlfn.XLOOKUP(tblInventoryReport[[#This Row],[Product ID]],tblProducts[Product ID],tblProducts[Selling Price])</f>
        <v>160</v>
      </c>
      <c r="I11">
        <f>tblInventoryReport[[#This Row],[Opening Stock]]+tblInventoryReport[[#This Row],[Purchased Qty]]-tblInventoryReport[[#This Row],[Sold Qty]]</f>
        <v>109</v>
      </c>
      <c r="J11">
        <f>tblInventoryReport[[#This Row],[Current Stock]]*tblInventoryReport[[#This Row],[Cost Value]]</f>
        <v>10355</v>
      </c>
      <c r="K11" t="str">
        <f>IF(tblInventoryReport[[#This Row],[Current Stock]] = 0,"Out of Stock",IF(tblInventoryReport[[#This Row],[Current Stock]]&lt;=_xlfn.XLOOKUP(tblInventoryReport[[#This Row],[Product ID]],tblProducts[Product ID],tblProducts[Reorder Level]),"Low Stock", "In Stock"))</f>
        <v>In Stock</v>
      </c>
    </row>
    <row r="12" spans="1:11" x14ac:dyDescent="0.35">
      <c r="A12" t="str">
        <f>tblProducts[[#This Row],[Product ID]]</f>
        <v>P011</v>
      </c>
      <c r="B12" t="str">
        <f>tblProducts[[#This Row],[Product Name]]</f>
        <v>Office Chair</v>
      </c>
      <c r="C12" t="str">
        <f>_xlfn.XLOOKUP(tblInventoryReport[[#This Row],[Product ID]],tblProducts[Product ID],tblProducts[Category])</f>
        <v>Furniture</v>
      </c>
      <c r="D12">
        <f>_xlfn.XLOOKUP(tblInventoryReport[[#This Row],[Product ID]],tblProducts[Product ID],tblProducts[Opening Stock])</f>
        <v>25</v>
      </c>
      <c r="E12">
        <f>SUMIFS(tblPurchases[Qty Purchased],tblPurchases[Product ID],tblInventoryReport[[#This Row],[Product ID]])</f>
        <v>18</v>
      </c>
      <c r="F12">
        <f>SUMIFS(tblSales[Qty Sold],tblSales[Product ID],tblInventoryReport[[#This Row],[Product ID]])</f>
        <v>9</v>
      </c>
      <c r="G12">
        <f>_xlfn.XLOOKUP(tblInventoryReport[[#This Row],[Product ID]],tblProducts[Product ID],tblProducts[Cost Price])</f>
        <v>3500</v>
      </c>
      <c r="H12">
        <f>_xlfn.XLOOKUP(tblInventoryReport[[#This Row],[Product ID]],tblProducts[Product ID],tblProducts[Selling Price])</f>
        <v>5000</v>
      </c>
      <c r="I12">
        <f>tblInventoryReport[[#This Row],[Opening Stock]]+tblInventoryReport[[#This Row],[Purchased Qty]]-tblInventoryReport[[#This Row],[Sold Qty]]</f>
        <v>34</v>
      </c>
      <c r="J12">
        <f>tblInventoryReport[[#This Row],[Current Stock]]*tblInventoryReport[[#This Row],[Cost Value]]</f>
        <v>119000</v>
      </c>
      <c r="K12" t="str">
        <f>IF(tblInventoryReport[[#This Row],[Current Stock]] = 0,"Out of Stock",IF(tblInventoryReport[[#This Row],[Current Stock]]&lt;=_xlfn.XLOOKUP(tblInventoryReport[[#This Row],[Product ID]],tblProducts[Product ID],tblProducts[Reorder Level]),"Low Stock", "In Stock"))</f>
        <v>In Stock</v>
      </c>
    </row>
    <row r="13" spans="1:11" x14ac:dyDescent="0.35">
      <c r="A13" t="str">
        <f>tblProducts[[#This Row],[Product ID]]</f>
        <v>P012</v>
      </c>
      <c r="B13" t="str">
        <f>tblProducts[[#This Row],[Product Name]]</f>
        <v>Study Table</v>
      </c>
      <c r="C13" t="str">
        <f>_xlfn.XLOOKUP(tblInventoryReport[[#This Row],[Product ID]],tblProducts[Product ID],tblProducts[Category])</f>
        <v>Furniture</v>
      </c>
      <c r="D13">
        <f>_xlfn.XLOOKUP(tblInventoryReport[[#This Row],[Product ID]],tblProducts[Product ID],tblProducts[Opening Stock])</f>
        <v>18</v>
      </c>
      <c r="E13">
        <f>SUMIFS(tblPurchases[Qty Purchased],tblPurchases[Product ID],tblInventoryReport[[#This Row],[Product ID]])</f>
        <v>15</v>
      </c>
      <c r="F13">
        <f>SUMIFS(tblSales[Qty Sold],tblSales[Product ID],tblInventoryReport[[#This Row],[Product ID]])</f>
        <v>7</v>
      </c>
      <c r="G13">
        <f>_xlfn.XLOOKUP(tblInventoryReport[[#This Row],[Product ID]],tblProducts[Product ID],tblProducts[Cost Price])</f>
        <v>4200</v>
      </c>
      <c r="H13">
        <f>_xlfn.XLOOKUP(tblInventoryReport[[#This Row],[Product ID]],tblProducts[Product ID],tblProducts[Selling Price])</f>
        <v>6200</v>
      </c>
      <c r="I13">
        <f>tblInventoryReport[[#This Row],[Opening Stock]]+tblInventoryReport[[#This Row],[Purchased Qty]]-tblInventoryReport[[#This Row],[Sold Qty]]</f>
        <v>26</v>
      </c>
      <c r="J13">
        <f>tblInventoryReport[[#This Row],[Current Stock]]*tblInventoryReport[[#This Row],[Cost Value]]</f>
        <v>109200</v>
      </c>
      <c r="K13" t="str">
        <f>IF(tblInventoryReport[[#This Row],[Current Stock]] = 0,"Out of Stock",IF(tblInventoryReport[[#This Row],[Current Stock]]&lt;=_xlfn.XLOOKUP(tblInventoryReport[[#This Row],[Product ID]],tblProducts[Product ID],tblProducts[Reorder Level]),"Low Stock", "In Stock"))</f>
        <v>In Stock</v>
      </c>
    </row>
    <row r="14" spans="1:11" x14ac:dyDescent="0.35">
      <c r="A14" t="str">
        <f>tblProducts[[#This Row],[Product ID]]</f>
        <v>P013</v>
      </c>
      <c r="B14" t="str">
        <f>tblProducts[[#This Row],[Product Name]]</f>
        <v>Bookshelf</v>
      </c>
      <c r="C14" t="str">
        <f>_xlfn.XLOOKUP(tblInventoryReport[[#This Row],[Product ID]],tblProducts[Product ID],tblProducts[Category])</f>
        <v>Furniture</v>
      </c>
      <c r="D14">
        <f>_xlfn.XLOOKUP(tblInventoryReport[[#This Row],[Product ID]],tblProducts[Product ID],tblProducts[Opening Stock])</f>
        <v>15</v>
      </c>
      <c r="E14">
        <f>SUMIFS(tblPurchases[Qty Purchased],tblPurchases[Product ID],tblInventoryReport[[#This Row],[Product ID]])</f>
        <v>11</v>
      </c>
      <c r="F14">
        <f>SUMIFS(tblSales[Qty Sold],tblSales[Product ID],tblInventoryReport[[#This Row],[Product ID]])</f>
        <v>6</v>
      </c>
      <c r="G14">
        <f>_xlfn.XLOOKUP(tblInventoryReport[[#This Row],[Product ID]],tblProducts[Product ID],tblProducts[Cost Price])</f>
        <v>2800</v>
      </c>
      <c r="H14">
        <f>_xlfn.XLOOKUP(tblInventoryReport[[#This Row],[Product ID]],tblProducts[Product ID],tblProducts[Selling Price])</f>
        <v>4200</v>
      </c>
      <c r="I14">
        <f>tblInventoryReport[[#This Row],[Opening Stock]]+tblInventoryReport[[#This Row],[Purchased Qty]]-tblInventoryReport[[#This Row],[Sold Qty]]</f>
        <v>20</v>
      </c>
      <c r="J14">
        <f>tblInventoryReport[[#This Row],[Current Stock]]*tblInventoryReport[[#This Row],[Cost Value]]</f>
        <v>56000</v>
      </c>
      <c r="K14" t="str">
        <f>IF(tblInventoryReport[[#This Row],[Current Stock]] = 0,"Out of Stock",IF(tblInventoryReport[[#This Row],[Current Stock]]&lt;=_xlfn.XLOOKUP(tblInventoryReport[[#This Row],[Product ID]],tblProducts[Product ID],tblProducts[Reorder Level]),"Low Stock", "In Stock"))</f>
        <v>In Stock</v>
      </c>
    </row>
    <row r="15" spans="1:11" x14ac:dyDescent="0.35">
      <c r="A15" t="str">
        <f>tblProducts[[#This Row],[Product ID]]</f>
        <v>P014</v>
      </c>
      <c r="B15" t="str">
        <f>tblProducts[[#This Row],[Product Name]]</f>
        <v>LED Desk Lamp</v>
      </c>
      <c r="C15" t="str">
        <f>_xlfn.XLOOKUP(tblInventoryReport[[#This Row],[Product ID]],tblProducts[Product ID],tblProducts[Category])</f>
        <v>Furniture</v>
      </c>
      <c r="D15">
        <f>_xlfn.XLOOKUP(tblInventoryReport[[#This Row],[Product ID]],tblProducts[Product ID],tblProducts[Opening Stock])</f>
        <v>50</v>
      </c>
      <c r="E15">
        <f>SUMIFS(tblPurchases[Qty Purchased],tblPurchases[Product ID],tblInventoryReport[[#This Row],[Product ID]])</f>
        <v>55</v>
      </c>
      <c r="F15">
        <f>SUMIFS(tblSales[Qty Sold],tblSales[Product ID],tblInventoryReport[[#This Row],[Product ID]])</f>
        <v>41</v>
      </c>
      <c r="G15">
        <f>_xlfn.XLOOKUP(tblInventoryReport[[#This Row],[Product ID]],tblProducts[Product ID],tblProducts[Cost Price])</f>
        <v>650</v>
      </c>
      <c r="H15">
        <f>_xlfn.XLOOKUP(tblInventoryReport[[#This Row],[Product ID]],tblProducts[Product ID],tblProducts[Selling Price])</f>
        <v>950</v>
      </c>
      <c r="I15">
        <f>tblInventoryReport[[#This Row],[Opening Stock]]+tblInventoryReport[[#This Row],[Purchased Qty]]-tblInventoryReport[[#This Row],[Sold Qty]]</f>
        <v>64</v>
      </c>
      <c r="J15">
        <f>tblInventoryReport[[#This Row],[Current Stock]]*tblInventoryReport[[#This Row],[Cost Value]]</f>
        <v>41600</v>
      </c>
      <c r="K15" t="str">
        <f>IF(tblInventoryReport[[#This Row],[Current Stock]] = 0,"Out of Stock",IF(tblInventoryReport[[#This Row],[Current Stock]]&lt;=_xlfn.XLOOKUP(tblInventoryReport[[#This Row],[Product ID]],tblProducts[Product ID],tblProducts[Reorder Level]),"Low Stock", "In Stock"))</f>
        <v>In Stock</v>
      </c>
    </row>
    <row r="16" spans="1:11" x14ac:dyDescent="0.35">
      <c r="A16" t="str">
        <f>tblProducts[[#This Row],[Product ID]]</f>
        <v>P015</v>
      </c>
      <c r="B16" t="str">
        <f>tblProducts[[#This Row],[Product Name]]</f>
        <v>Storage Cabinet</v>
      </c>
      <c r="C16" t="str">
        <f>_xlfn.XLOOKUP(tblInventoryReport[[#This Row],[Product ID]],tblProducts[Product ID],tblProducts[Category])</f>
        <v>Furniture</v>
      </c>
      <c r="D16">
        <f>_xlfn.XLOOKUP(tblInventoryReport[[#This Row],[Product ID]],tblProducts[Product ID],tblProducts[Opening Stock])</f>
        <v>12</v>
      </c>
      <c r="E16">
        <f>SUMIFS(tblPurchases[Qty Purchased],tblPurchases[Product ID],tblInventoryReport[[#This Row],[Product ID]])</f>
        <v>11</v>
      </c>
      <c r="F16">
        <f>SUMIFS(tblSales[Qty Sold],tblSales[Product ID],tblInventoryReport[[#This Row],[Product ID]])</f>
        <v>2</v>
      </c>
      <c r="G16">
        <f>_xlfn.XLOOKUP(tblInventoryReport[[#This Row],[Product ID]],tblProducts[Product ID],tblProducts[Cost Price])</f>
        <v>5800</v>
      </c>
      <c r="H16">
        <f>_xlfn.XLOOKUP(tblInventoryReport[[#This Row],[Product ID]],tblProducts[Product ID],tblProducts[Selling Price])</f>
        <v>7800</v>
      </c>
      <c r="I16">
        <f>tblInventoryReport[[#This Row],[Opening Stock]]+tblInventoryReport[[#This Row],[Purchased Qty]]-tblInventoryReport[[#This Row],[Sold Qty]]</f>
        <v>21</v>
      </c>
      <c r="J16">
        <f>tblInventoryReport[[#This Row],[Current Stock]]*tblInventoryReport[[#This Row],[Cost Value]]</f>
        <v>121800</v>
      </c>
      <c r="K16" t="str">
        <f>IF(tblInventoryReport[[#This Row],[Current Stock]] = 0,"Out of Stock",IF(tblInventoryReport[[#This Row],[Current Stock]]&lt;=_xlfn.XLOOKUP(tblInventoryReport[[#This Row],[Product ID]],tblProducts[Product ID],tblProducts[Reorder Level]),"Low Stock", "In Stock"))</f>
        <v>In Stock</v>
      </c>
    </row>
    <row r="17" spans="1:11" x14ac:dyDescent="0.35">
      <c r="A17" t="str">
        <f>tblProducts[[#This Row],[Product ID]]</f>
        <v>P016</v>
      </c>
      <c r="B17" t="str">
        <f>tblProducts[[#This Row],[Product Name]]</f>
        <v>Water Bottle 1L</v>
      </c>
      <c r="C17" t="str">
        <f>_xlfn.XLOOKUP(tblInventoryReport[[#This Row],[Product ID]],tblProducts[Product ID],tblProducts[Category])</f>
        <v>Accessories</v>
      </c>
      <c r="D17">
        <f>_xlfn.XLOOKUP(tblInventoryReport[[#This Row],[Product ID]],tblProducts[Product ID],tblProducts[Opening Stock])</f>
        <v>180</v>
      </c>
      <c r="E17">
        <f>SUMIFS(tblPurchases[Qty Purchased],tblPurchases[Product ID],tblInventoryReport[[#This Row],[Product ID]])</f>
        <v>230</v>
      </c>
      <c r="F17">
        <f>SUMIFS(tblSales[Qty Sold],tblSales[Product ID],tblInventoryReport[[#This Row],[Product ID]])</f>
        <v>185</v>
      </c>
      <c r="G17">
        <f>_xlfn.XLOOKUP(tblInventoryReport[[#This Row],[Product ID]],tblProducts[Product ID],tblProducts[Cost Price])</f>
        <v>120</v>
      </c>
      <c r="H17">
        <f>_xlfn.XLOOKUP(tblInventoryReport[[#This Row],[Product ID]],tblProducts[Product ID],tblProducts[Selling Price])</f>
        <v>220</v>
      </c>
      <c r="I17">
        <f>tblInventoryReport[[#This Row],[Opening Stock]]+tblInventoryReport[[#This Row],[Purchased Qty]]-tblInventoryReport[[#This Row],[Sold Qty]]</f>
        <v>225</v>
      </c>
      <c r="J17">
        <f>tblInventoryReport[[#This Row],[Current Stock]]*tblInventoryReport[[#This Row],[Cost Value]]</f>
        <v>27000</v>
      </c>
      <c r="K17" t="str">
        <f>IF(tblInventoryReport[[#This Row],[Current Stock]] = 0,"Out of Stock",IF(tblInventoryReport[[#This Row],[Current Stock]]&lt;=_xlfn.XLOOKUP(tblInventoryReport[[#This Row],[Product ID]],tblProducts[Product ID],tblProducts[Reorder Level]),"Low Stock", "In Stock"))</f>
        <v>In Stock</v>
      </c>
    </row>
    <row r="18" spans="1:11" x14ac:dyDescent="0.35">
      <c r="A18" t="str">
        <f>tblProducts[[#This Row],[Product ID]]</f>
        <v>P017</v>
      </c>
      <c r="B18" t="str">
        <f>tblProducts[[#This Row],[Product Name]]</f>
        <v>Laptop Backpack</v>
      </c>
      <c r="C18" t="str">
        <f>_xlfn.XLOOKUP(tblInventoryReport[[#This Row],[Product ID]],tblProducts[Product ID],tblProducts[Category])</f>
        <v>Accessories</v>
      </c>
      <c r="D18">
        <f>_xlfn.XLOOKUP(tblInventoryReport[[#This Row],[Product ID]],tblProducts[Product ID],tblProducts[Opening Stock])</f>
        <v>60</v>
      </c>
      <c r="E18">
        <f>SUMIFS(tblPurchases[Qty Purchased],tblPurchases[Product ID],tblInventoryReport[[#This Row],[Product ID]])</f>
        <v>55</v>
      </c>
      <c r="F18">
        <f>SUMIFS(tblSales[Qty Sold],tblSales[Product ID],tblInventoryReport[[#This Row],[Product ID]])</f>
        <v>55</v>
      </c>
      <c r="G18">
        <f>_xlfn.XLOOKUP(tblInventoryReport[[#This Row],[Product ID]],tblProducts[Product ID],tblProducts[Cost Price])</f>
        <v>850</v>
      </c>
      <c r="H18">
        <f>_xlfn.XLOOKUP(tblInventoryReport[[#This Row],[Product ID]],tblProducts[Product ID],tblProducts[Selling Price])</f>
        <v>1300</v>
      </c>
      <c r="I18">
        <f>tblInventoryReport[[#This Row],[Opening Stock]]+tblInventoryReport[[#This Row],[Purchased Qty]]-tblInventoryReport[[#This Row],[Sold Qty]]</f>
        <v>60</v>
      </c>
      <c r="J18">
        <f>tblInventoryReport[[#This Row],[Current Stock]]*tblInventoryReport[[#This Row],[Cost Value]]</f>
        <v>51000</v>
      </c>
      <c r="K18" t="str">
        <f>IF(tblInventoryReport[[#This Row],[Current Stock]] = 0,"Out of Stock",IF(tblInventoryReport[[#This Row],[Current Stock]]&lt;=_xlfn.XLOOKUP(tblInventoryReport[[#This Row],[Product ID]],tblProducts[Product ID],tblProducts[Reorder Level]),"Low Stock", "In Stock"))</f>
        <v>In Stock</v>
      </c>
    </row>
    <row r="19" spans="1:11" x14ac:dyDescent="0.35">
      <c r="A19" t="str">
        <f>tblProducts[[#This Row],[Product ID]]</f>
        <v>P018</v>
      </c>
      <c r="B19" t="str">
        <f>tblProducts[[#This Row],[Product Name]]</f>
        <v>Mobile Stand</v>
      </c>
      <c r="C19" t="str">
        <f>_xlfn.XLOOKUP(tblInventoryReport[[#This Row],[Product ID]],tblProducts[Product ID],tblProducts[Category])</f>
        <v>Accessories</v>
      </c>
      <c r="D19">
        <f>_xlfn.XLOOKUP(tblInventoryReport[[#This Row],[Product ID]],tblProducts[Product ID],tblProducts[Opening Stock])</f>
        <v>140</v>
      </c>
      <c r="E19">
        <f>SUMIFS(tblPurchases[Qty Purchased],tblPurchases[Product ID],tblInventoryReport[[#This Row],[Product ID]])</f>
        <v>110</v>
      </c>
      <c r="F19">
        <f>SUMIFS(tblSales[Qty Sold],tblSales[Product ID],tblInventoryReport[[#This Row],[Product ID]])</f>
        <v>100</v>
      </c>
      <c r="G19">
        <f>_xlfn.XLOOKUP(tblInventoryReport[[#This Row],[Product ID]],tblProducts[Product ID],tblProducts[Cost Price])</f>
        <v>90</v>
      </c>
      <c r="H19">
        <f>_xlfn.XLOOKUP(tblInventoryReport[[#This Row],[Product ID]],tblProducts[Product ID],tblProducts[Selling Price])</f>
        <v>180</v>
      </c>
      <c r="I19">
        <f>tblInventoryReport[[#This Row],[Opening Stock]]+tblInventoryReport[[#This Row],[Purchased Qty]]-tblInventoryReport[[#This Row],[Sold Qty]]</f>
        <v>150</v>
      </c>
      <c r="J19">
        <f>tblInventoryReport[[#This Row],[Current Stock]]*tblInventoryReport[[#This Row],[Cost Value]]</f>
        <v>13500</v>
      </c>
      <c r="K19" t="str">
        <f>IF(tblInventoryReport[[#This Row],[Current Stock]] = 0,"Out of Stock",IF(tblInventoryReport[[#This Row],[Current Stock]]&lt;=_xlfn.XLOOKUP(tblInventoryReport[[#This Row],[Product ID]],tblProducts[Product ID],tblProducts[Reorder Level]),"Low Stock", "In Stock"))</f>
        <v>In Stock</v>
      </c>
    </row>
    <row r="20" spans="1:11" x14ac:dyDescent="0.35">
      <c r="A20" t="str">
        <f>tblProducts[[#This Row],[Product ID]]</f>
        <v>P019</v>
      </c>
      <c r="B20" t="str">
        <f>tblProducts[[#This Row],[Product Name]]</f>
        <v>Power Bank 10000mAh</v>
      </c>
      <c r="C20" t="str">
        <f>_xlfn.XLOOKUP(tblInventoryReport[[#This Row],[Product ID]],tblProducts[Product ID],tblProducts[Category])</f>
        <v>Electronics</v>
      </c>
      <c r="D20">
        <f>_xlfn.XLOOKUP(tblInventoryReport[[#This Row],[Product ID]],tblProducts[Product ID],tblProducts[Opening Stock])</f>
        <v>55</v>
      </c>
      <c r="E20">
        <f>SUMIFS(tblPurchases[Qty Purchased],tblPurchases[Product ID],tblInventoryReport[[#This Row],[Product ID]])</f>
        <v>38</v>
      </c>
      <c r="F20">
        <f>SUMIFS(tblSales[Qty Sold],tblSales[Product ID],tblInventoryReport[[#This Row],[Product ID]])</f>
        <v>29</v>
      </c>
      <c r="G20">
        <f>_xlfn.XLOOKUP(tblInventoryReport[[#This Row],[Product ID]],tblProducts[Product ID],tblProducts[Cost Price])</f>
        <v>950</v>
      </c>
      <c r="H20">
        <f>_xlfn.XLOOKUP(tblInventoryReport[[#This Row],[Product ID]],tblProducts[Product ID],tblProducts[Selling Price])</f>
        <v>1450</v>
      </c>
      <c r="I20">
        <f>tblInventoryReport[[#This Row],[Opening Stock]]+tblInventoryReport[[#This Row],[Purchased Qty]]-tblInventoryReport[[#This Row],[Sold Qty]]</f>
        <v>64</v>
      </c>
      <c r="J20">
        <f>tblInventoryReport[[#This Row],[Current Stock]]*tblInventoryReport[[#This Row],[Cost Value]]</f>
        <v>60800</v>
      </c>
      <c r="K20" t="str">
        <f>IF(tblInventoryReport[[#This Row],[Current Stock]] = 0,"Out of Stock",IF(tblInventoryReport[[#This Row],[Current Stock]]&lt;=_xlfn.XLOOKUP(tblInventoryReport[[#This Row],[Product ID]],tblProducts[Product ID],tblProducts[Reorder Level]),"Low Stock", "In Stock"))</f>
        <v>In Stock</v>
      </c>
    </row>
    <row r="21" spans="1:11" x14ac:dyDescent="0.35">
      <c r="A21" t="str">
        <f>tblProducts[[#This Row],[Product ID]]</f>
        <v>P020</v>
      </c>
      <c r="B21" t="str">
        <f>tblProducts[[#This Row],[Product Name]]</f>
        <v>Bluetooth Speaker</v>
      </c>
      <c r="C21" t="str">
        <f>_xlfn.XLOOKUP(tblInventoryReport[[#This Row],[Product ID]],tblProducts[Product ID],tblProducts[Category])</f>
        <v>Electronics</v>
      </c>
      <c r="D21">
        <f>_xlfn.XLOOKUP(tblInventoryReport[[#This Row],[Product ID]],tblProducts[Product ID],tblProducts[Opening Stock])</f>
        <v>45</v>
      </c>
      <c r="E21">
        <f>SUMIFS(tblPurchases[Qty Purchased],tblPurchases[Product ID],tblInventoryReport[[#This Row],[Product ID]])</f>
        <v>50</v>
      </c>
      <c r="F21">
        <f>SUMIFS(tblSales[Qty Sold],tblSales[Product ID],tblInventoryReport[[#This Row],[Product ID]])</f>
        <v>32</v>
      </c>
      <c r="G21">
        <f>_xlfn.XLOOKUP(tblInventoryReport[[#This Row],[Product ID]],tblProducts[Product ID],tblProducts[Cost Price])</f>
        <v>1100</v>
      </c>
      <c r="H21">
        <f>_xlfn.XLOOKUP(tblInventoryReport[[#This Row],[Product ID]],tblProducts[Product ID],tblProducts[Selling Price])</f>
        <v>1700</v>
      </c>
      <c r="I21">
        <f>tblInventoryReport[[#This Row],[Opening Stock]]+tblInventoryReport[[#This Row],[Purchased Qty]]-tblInventoryReport[[#This Row],[Sold Qty]]</f>
        <v>63</v>
      </c>
      <c r="J21">
        <f>tblInventoryReport[[#This Row],[Current Stock]]*tblInventoryReport[[#This Row],[Cost Value]]</f>
        <v>69300</v>
      </c>
      <c r="K21" t="str">
        <f>IF(tblInventoryReport[[#This Row],[Current Stock]] = 0,"Out of Stock",IF(tblInventoryReport[[#This Row],[Current Stock]]&lt;=_xlfn.XLOOKUP(tblInventoryReport[[#This Row],[Product ID]],tblProducts[Product ID],tblProducts[Reorder Level]),"Low Stock", "In Stock"))</f>
        <v>In Stock</v>
      </c>
    </row>
    <row r="22" spans="1:11" x14ac:dyDescent="0.35">
      <c r="A22" t="str">
        <f>tblProducts[[#This Row],[Product ID]]</f>
        <v>P021</v>
      </c>
      <c r="B22" t="str">
        <f>tblProducts[[#This Row],[Product Name]]</f>
        <v>Whiteboard Marker</v>
      </c>
      <c r="C22" t="str">
        <f>_xlfn.XLOOKUP(tblInventoryReport[[#This Row],[Product ID]],tblProducts[Product ID],tblProducts[Category])</f>
        <v>Stationery</v>
      </c>
      <c r="D22">
        <f>_xlfn.XLOOKUP(tblInventoryReport[[#This Row],[Product ID]],tblProducts[Product ID],tblProducts[Opening Stock])</f>
        <v>250</v>
      </c>
      <c r="E22">
        <f>SUMIFS(tblPurchases[Qty Purchased],tblPurchases[Product ID],tblInventoryReport[[#This Row],[Product ID]])</f>
        <v>260</v>
      </c>
      <c r="F22">
        <f>SUMIFS(tblSales[Qty Sold],tblSales[Product ID],tblInventoryReport[[#This Row],[Product ID]])</f>
        <v>322</v>
      </c>
      <c r="G22">
        <f>_xlfn.XLOOKUP(tblInventoryReport[[#This Row],[Product ID]],tblProducts[Product ID],tblProducts[Cost Price])</f>
        <v>30</v>
      </c>
      <c r="H22">
        <f>_xlfn.XLOOKUP(tblInventoryReport[[#This Row],[Product ID]],tblProducts[Product ID],tblProducts[Selling Price])</f>
        <v>55</v>
      </c>
      <c r="I22">
        <f>tblInventoryReport[[#This Row],[Opening Stock]]+tblInventoryReport[[#This Row],[Purchased Qty]]-tblInventoryReport[[#This Row],[Sold Qty]]</f>
        <v>188</v>
      </c>
      <c r="J22">
        <f>tblInventoryReport[[#This Row],[Current Stock]]*tblInventoryReport[[#This Row],[Cost Value]]</f>
        <v>5640</v>
      </c>
      <c r="K22" t="str">
        <f>IF(tblInventoryReport[[#This Row],[Current Stock]] = 0,"Out of Stock",IF(tblInventoryReport[[#This Row],[Current Stock]]&lt;=_xlfn.XLOOKUP(tblInventoryReport[[#This Row],[Product ID]],tblProducts[Product ID],tblProducts[Reorder Level]),"Low Stock", "In Stock"))</f>
        <v>In Stock</v>
      </c>
    </row>
    <row r="23" spans="1:11" x14ac:dyDescent="0.35">
      <c r="A23" t="str">
        <f>tblProducts[[#This Row],[Product ID]]</f>
        <v>P022</v>
      </c>
      <c r="B23" t="str">
        <f>tblProducts[[#This Row],[Product Name]]</f>
        <v>Calculator</v>
      </c>
      <c r="C23" t="str">
        <f>_xlfn.XLOOKUP(tblInventoryReport[[#This Row],[Product ID]],tblProducts[Product ID],tblProducts[Category])</f>
        <v>Electronics</v>
      </c>
      <c r="D23">
        <f>_xlfn.XLOOKUP(tblInventoryReport[[#This Row],[Product ID]],tblProducts[Product ID],tblProducts[Opening Stock])</f>
        <v>70</v>
      </c>
      <c r="E23">
        <f>SUMIFS(tblPurchases[Qty Purchased],tblPurchases[Product ID],tblInventoryReport[[#This Row],[Product ID]])</f>
        <v>75</v>
      </c>
      <c r="F23">
        <f>SUMIFS(tblSales[Qty Sold],tblSales[Product ID],tblInventoryReport[[#This Row],[Product ID]])</f>
        <v>52</v>
      </c>
      <c r="G23">
        <f>_xlfn.XLOOKUP(tblInventoryReport[[#This Row],[Product ID]],tblProducts[Product ID],tblProducts[Cost Price])</f>
        <v>350</v>
      </c>
      <c r="H23">
        <f>_xlfn.XLOOKUP(tblInventoryReport[[#This Row],[Product ID]],tblProducts[Product ID],tblProducts[Selling Price])</f>
        <v>550</v>
      </c>
      <c r="I23">
        <f>tblInventoryReport[[#This Row],[Opening Stock]]+tblInventoryReport[[#This Row],[Purchased Qty]]-tblInventoryReport[[#This Row],[Sold Qty]]</f>
        <v>93</v>
      </c>
      <c r="J23">
        <f>tblInventoryReport[[#This Row],[Current Stock]]*tblInventoryReport[[#This Row],[Cost Value]]</f>
        <v>32550</v>
      </c>
      <c r="K23" t="str">
        <f>IF(tblInventoryReport[[#This Row],[Current Stock]] = 0,"Out of Stock",IF(tblInventoryReport[[#This Row],[Current Stock]]&lt;=_xlfn.XLOOKUP(tblInventoryReport[[#This Row],[Product ID]],tblProducts[Product ID],tblProducts[Reorder Level]),"Low Stock", "In Stock"))</f>
        <v>In Stock</v>
      </c>
    </row>
    <row r="24" spans="1:11" x14ac:dyDescent="0.35">
      <c r="A24" t="str">
        <f>tblProducts[[#This Row],[Product ID]]</f>
        <v>P023</v>
      </c>
      <c r="B24" t="str">
        <f>tblProducts[[#This Row],[Product Name]]</f>
        <v>Extension Board</v>
      </c>
      <c r="C24" t="str">
        <f>_xlfn.XLOOKUP(tblInventoryReport[[#This Row],[Product ID]],tblProducts[Product ID],tblProducts[Category])</f>
        <v>Electronics</v>
      </c>
      <c r="D24">
        <f>_xlfn.XLOOKUP(tblInventoryReport[[#This Row],[Product ID]],tblProducts[Product ID],tblProducts[Opening Stock])</f>
        <v>90</v>
      </c>
      <c r="E24">
        <f>SUMIFS(tblPurchases[Qty Purchased],tblPurchases[Product ID],tblInventoryReport[[#This Row],[Product ID]])</f>
        <v>100</v>
      </c>
      <c r="F24">
        <f>SUMIFS(tblSales[Qty Sold],tblSales[Product ID],tblInventoryReport[[#This Row],[Product ID]])</f>
        <v>83</v>
      </c>
      <c r="G24">
        <f>_xlfn.XLOOKUP(tblInventoryReport[[#This Row],[Product ID]],tblProducts[Product ID],tblProducts[Cost Price])</f>
        <v>280</v>
      </c>
      <c r="H24">
        <f>_xlfn.XLOOKUP(tblInventoryReport[[#This Row],[Product ID]],tblProducts[Product ID],tblProducts[Selling Price])</f>
        <v>450</v>
      </c>
      <c r="I24">
        <f>tblInventoryReport[[#This Row],[Opening Stock]]+tblInventoryReport[[#This Row],[Purchased Qty]]-tblInventoryReport[[#This Row],[Sold Qty]]</f>
        <v>107</v>
      </c>
      <c r="J24">
        <f>tblInventoryReport[[#This Row],[Current Stock]]*tblInventoryReport[[#This Row],[Cost Value]]</f>
        <v>29960</v>
      </c>
      <c r="K24" t="str">
        <f>IF(tblInventoryReport[[#This Row],[Current Stock]] = 0,"Out of Stock",IF(tblInventoryReport[[#This Row],[Current Stock]]&lt;=_xlfn.XLOOKUP(tblInventoryReport[[#This Row],[Product ID]],tblProducts[Product ID],tblProducts[Reorder Level]),"Low Stock", "In Stock"))</f>
        <v>In Stock</v>
      </c>
    </row>
    <row r="25" spans="1:11" x14ac:dyDescent="0.35">
      <c r="A25" t="str">
        <f>tblProducts[[#This Row],[Product ID]]</f>
        <v>P024</v>
      </c>
      <c r="B25" t="str">
        <f>tblProducts[[#This Row],[Product Name]]</f>
        <v>File Folder</v>
      </c>
      <c r="C25" t="str">
        <f>_xlfn.XLOOKUP(tblInventoryReport[[#This Row],[Product ID]],tblProducts[Product ID],tblProducts[Category])</f>
        <v>Stationery</v>
      </c>
      <c r="D25">
        <f>_xlfn.XLOOKUP(tblInventoryReport[[#This Row],[Product ID]],tblProducts[Product ID],tblProducts[Opening Stock])</f>
        <v>350</v>
      </c>
      <c r="E25">
        <f>SUMIFS(tblPurchases[Qty Purchased],tblPurchases[Product ID],tblInventoryReport[[#This Row],[Product ID]])</f>
        <v>330</v>
      </c>
      <c r="F25">
        <f>SUMIFS(tblSales[Qty Sold],tblSales[Product ID],tblInventoryReport[[#This Row],[Product ID]])</f>
        <v>520</v>
      </c>
      <c r="G25">
        <f>_xlfn.XLOOKUP(tblInventoryReport[[#This Row],[Product ID]],tblProducts[Product ID],tblProducts[Cost Price])</f>
        <v>18</v>
      </c>
      <c r="H25">
        <f>_xlfn.XLOOKUP(tblInventoryReport[[#This Row],[Product ID]],tblProducts[Product ID],tblProducts[Selling Price])</f>
        <v>35</v>
      </c>
      <c r="I25">
        <f>tblInventoryReport[[#This Row],[Opening Stock]]+tblInventoryReport[[#This Row],[Purchased Qty]]-tblInventoryReport[[#This Row],[Sold Qty]]</f>
        <v>160</v>
      </c>
      <c r="J25">
        <f>tblInventoryReport[[#This Row],[Current Stock]]*tblInventoryReport[[#This Row],[Cost Value]]</f>
        <v>2880</v>
      </c>
      <c r="K25" t="str">
        <f>IF(tblInventoryReport[[#This Row],[Current Stock]] = 0,"Out of Stock",IF(tblInventoryReport[[#This Row],[Current Stock]]&lt;=_xlfn.XLOOKUP(tblInventoryReport[[#This Row],[Product ID]],tblProducts[Product ID],tblProducts[Reorder Level]),"Low Stock", "In Stock"))</f>
        <v>In Stock</v>
      </c>
    </row>
    <row r="26" spans="1:11" x14ac:dyDescent="0.35">
      <c r="A26" t="str">
        <f>tblProducts[[#This Row],[Product ID]]</f>
        <v>P025</v>
      </c>
      <c r="B26" t="str">
        <f>tblProducts[[#This Row],[Product Name]]</f>
        <v>Desk Organizer</v>
      </c>
      <c r="C26" t="str">
        <f>_xlfn.XLOOKUP(tblInventoryReport[[#This Row],[Product ID]],tblProducts[Product ID],tblProducts[Category])</f>
        <v>Accessories</v>
      </c>
      <c r="D26">
        <f>_xlfn.XLOOKUP(tblInventoryReport[[#This Row],[Product ID]],tblProducts[Product ID],tblProducts[Opening Stock])</f>
        <v>85</v>
      </c>
      <c r="E26">
        <f>SUMIFS(tblPurchases[Qty Purchased],tblPurchases[Product ID],tblInventoryReport[[#This Row],[Product ID]])</f>
        <v>75</v>
      </c>
      <c r="F26">
        <f>SUMIFS(tblSales[Qty Sold],tblSales[Product ID],tblInventoryReport[[#This Row],[Product ID]])</f>
        <v>56</v>
      </c>
      <c r="G26">
        <f>_xlfn.XLOOKUP(tblInventoryReport[[#This Row],[Product ID]],tblProducts[Product ID],tblProducts[Cost Price])</f>
        <v>220</v>
      </c>
      <c r="H26">
        <f>_xlfn.XLOOKUP(tblInventoryReport[[#This Row],[Product ID]],tblProducts[Product ID],tblProducts[Selling Price])</f>
        <v>380</v>
      </c>
      <c r="I26">
        <f>tblInventoryReport[[#This Row],[Opening Stock]]+tblInventoryReport[[#This Row],[Purchased Qty]]-tblInventoryReport[[#This Row],[Sold Qty]]</f>
        <v>104</v>
      </c>
      <c r="J26">
        <f>tblInventoryReport[[#This Row],[Current Stock]]*tblInventoryReport[[#This Row],[Cost Value]]</f>
        <v>22880</v>
      </c>
      <c r="K26" t="str">
        <f>IF(tblInventoryReport[[#This Row],[Current Stock]] = 0,"Out of Stock",IF(tblInventoryReport[[#This Row],[Current Stock]]&lt;=_xlfn.XLOOKUP(tblInventoryReport[[#This Row],[Product ID]],tblProducts[Product ID],tblProducts[Reorder Level]),"Low Stock", "In Stock"))</f>
        <v>In Stock</v>
      </c>
    </row>
    <row r="28" spans="1:11" x14ac:dyDescent="0.35">
      <c r="I28">
        <f>SUM(I2:I27)</f>
        <v>3643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D9B5-8F37-412D-9ECB-94810329EC0A}">
  <dimension ref="A1:H26"/>
  <sheetViews>
    <sheetView workbookViewId="0">
      <selection activeCell="F2" sqref="F2"/>
    </sheetView>
  </sheetViews>
  <sheetFormatPr defaultRowHeight="14.5" x14ac:dyDescent="0.35"/>
  <cols>
    <col min="1" max="1" width="15.1796875" customWidth="1"/>
    <col min="2" max="2" width="22.7265625" customWidth="1"/>
    <col min="3" max="3" width="13.7265625" customWidth="1"/>
    <col min="4" max="4" width="10.26953125" customWidth="1"/>
    <col min="5" max="5" width="14.36328125" customWidth="1"/>
    <col min="6" max="6" width="16.1796875" customWidth="1"/>
    <col min="7" max="7" width="18.7265625" customWidth="1"/>
    <col min="8" max="8" width="18.08984375" customWidth="1"/>
  </cols>
  <sheetData>
    <row r="1" spans="1:8" x14ac:dyDescent="0.35">
      <c r="A1" s="1" t="s">
        <v>0</v>
      </c>
      <c r="B1" s="1" t="s">
        <v>1</v>
      </c>
      <c r="C1" s="1" t="s">
        <v>2</v>
      </c>
      <c r="D1" s="1" t="s">
        <v>3</v>
      </c>
      <c r="E1" s="1" t="s">
        <v>4</v>
      </c>
      <c r="F1" s="1" t="s">
        <v>5</v>
      </c>
      <c r="G1" s="1" t="s">
        <v>6</v>
      </c>
      <c r="H1" s="1" t="s">
        <v>7</v>
      </c>
    </row>
    <row r="2" spans="1:8" x14ac:dyDescent="0.35">
      <c r="A2" s="3" t="s">
        <v>20</v>
      </c>
      <c r="B2" s="3" t="s">
        <v>21</v>
      </c>
      <c r="C2" s="3" t="s">
        <v>22</v>
      </c>
      <c r="D2" s="3" t="s">
        <v>23</v>
      </c>
      <c r="E2" s="4">
        <v>450</v>
      </c>
      <c r="F2" s="4">
        <v>650</v>
      </c>
      <c r="G2" s="4">
        <v>20</v>
      </c>
      <c r="H2" s="4">
        <v>100</v>
      </c>
    </row>
    <row r="3" spans="1:8" x14ac:dyDescent="0.35">
      <c r="A3" s="3" t="s">
        <v>24</v>
      </c>
      <c r="B3" s="3" t="s">
        <v>25</v>
      </c>
      <c r="C3" s="3" t="s">
        <v>22</v>
      </c>
      <c r="D3" s="3" t="s">
        <v>23</v>
      </c>
      <c r="E3" s="4">
        <v>900</v>
      </c>
      <c r="F3" s="4">
        <v>1300</v>
      </c>
      <c r="G3" s="4">
        <v>15</v>
      </c>
      <c r="H3" s="4">
        <v>80</v>
      </c>
    </row>
    <row r="4" spans="1:8" x14ac:dyDescent="0.35">
      <c r="A4" s="3" t="s">
        <v>26</v>
      </c>
      <c r="B4" s="3" t="s">
        <v>27</v>
      </c>
      <c r="C4" s="3" t="s">
        <v>22</v>
      </c>
      <c r="D4" s="3" t="s">
        <v>23</v>
      </c>
      <c r="E4" s="4">
        <v>350</v>
      </c>
      <c r="F4" s="4">
        <v>550</v>
      </c>
      <c r="G4" s="4">
        <v>30</v>
      </c>
      <c r="H4" s="4">
        <v>120</v>
      </c>
    </row>
    <row r="5" spans="1:8" x14ac:dyDescent="0.35">
      <c r="A5" s="3" t="s">
        <v>28</v>
      </c>
      <c r="B5" s="3" t="s">
        <v>29</v>
      </c>
      <c r="C5" s="3" t="s">
        <v>22</v>
      </c>
      <c r="D5" s="3" t="s">
        <v>23</v>
      </c>
      <c r="E5" s="4">
        <v>3200</v>
      </c>
      <c r="F5" s="4">
        <v>4200</v>
      </c>
      <c r="G5" s="4">
        <v>10</v>
      </c>
      <c r="H5" s="4">
        <v>40</v>
      </c>
    </row>
    <row r="6" spans="1:8" x14ac:dyDescent="0.35">
      <c r="A6" s="3" t="s">
        <v>30</v>
      </c>
      <c r="B6" s="3" t="s">
        <v>31</v>
      </c>
      <c r="C6" s="3" t="s">
        <v>22</v>
      </c>
      <c r="D6" s="3" t="s">
        <v>23</v>
      </c>
      <c r="E6" s="4">
        <v>180</v>
      </c>
      <c r="F6" s="4">
        <v>350</v>
      </c>
      <c r="G6" s="4">
        <v>25</v>
      </c>
      <c r="H6" s="4">
        <v>150</v>
      </c>
    </row>
    <row r="7" spans="1:8" x14ac:dyDescent="0.35">
      <c r="A7" s="3" t="s">
        <v>32</v>
      </c>
      <c r="B7" s="3" t="s">
        <v>33</v>
      </c>
      <c r="C7" s="3" t="s">
        <v>34</v>
      </c>
      <c r="D7" s="3" t="s">
        <v>23</v>
      </c>
      <c r="E7" s="4">
        <v>45</v>
      </c>
      <c r="F7" s="4">
        <v>80</v>
      </c>
      <c r="G7" s="4">
        <v>50</v>
      </c>
      <c r="H7" s="4">
        <v>300</v>
      </c>
    </row>
    <row r="8" spans="1:8" x14ac:dyDescent="0.35">
      <c r="A8" s="3" t="s">
        <v>35</v>
      </c>
      <c r="B8" s="3" t="s">
        <v>36</v>
      </c>
      <c r="C8" s="3" t="s">
        <v>34</v>
      </c>
      <c r="D8" s="3" t="s">
        <v>23</v>
      </c>
      <c r="E8" s="4">
        <v>12</v>
      </c>
      <c r="F8" s="4">
        <v>25</v>
      </c>
      <c r="G8" s="4">
        <v>100</v>
      </c>
      <c r="H8" s="4">
        <v>500</v>
      </c>
    </row>
    <row r="9" spans="1:8" x14ac:dyDescent="0.35">
      <c r="A9" s="3" t="s">
        <v>37</v>
      </c>
      <c r="B9" s="3" t="s">
        <v>38</v>
      </c>
      <c r="C9" s="3" t="s">
        <v>34</v>
      </c>
      <c r="D9" s="3" t="s">
        <v>23</v>
      </c>
      <c r="E9" s="4">
        <v>110</v>
      </c>
      <c r="F9" s="4">
        <v>180</v>
      </c>
      <c r="G9" s="4">
        <v>20</v>
      </c>
      <c r="H9" s="4">
        <v>90</v>
      </c>
    </row>
    <row r="10" spans="1:8" x14ac:dyDescent="0.35">
      <c r="A10" s="3" t="s">
        <v>39</v>
      </c>
      <c r="B10" s="3" t="s">
        <v>40</v>
      </c>
      <c r="C10" s="3" t="s">
        <v>34</v>
      </c>
      <c r="D10" s="3" t="s">
        <v>41</v>
      </c>
      <c r="E10" s="4">
        <v>220</v>
      </c>
      <c r="F10" s="4">
        <v>320</v>
      </c>
      <c r="G10" s="4">
        <v>30</v>
      </c>
      <c r="H10" s="4">
        <v>100</v>
      </c>
    </row>
    <row r="11" spans="1:8" x14ac:dyDescent="0.35">
      <c r="A11" s="3" t="s">
        <v>42</v>
      </c>
      <c r="B11" s="3" t="s">
        <v>43</v>
      </c>
      <c r="C11" s="3" t="s">
        <v>34</v>
      </c>
      <c r="D11" s="3" t="s">
        <v>41</v>
      </c>
      <c r="E11" s="4">
        <v>95</v>
      </c>
      <c r="F11" s="4">
        <v>160</v>
      </c>
      <c r="G11" s="4">
        <v>20</v>
      </c>
      <c r="H11" s="4">
        <v>75</v>
      </c>
    </row>
    <row r="12" spans="1:8" x14ac:dyDescent="0.35">
      <c r="A12" s="3" t="s">
        <v>44</v>
      </c>
      <c r="B12" s="3" t="s">
        <v>45</v>
      </c>
      <c r="C12" s="3" t="s">
        <v>46</v>
      </c>
      <c r="D12" s="3" t="s">
        <v>23</v>
      </c>
      <c r="E12" s="4">
        <v>3500</v>
      </c>
      <c r="F12" s="4">
        <v>5000</v>
      </c>
      <c r="G12" s="4">
        <v>8</v>
      </c>
      <c r="H12" s="4">
        <v>25</v>
      </c>
    </row>
    <row r="13" spans="1:8" x14ac:dyDescent="0.35">
      <c r="A13" s="3" t="s">
        <v>47</v>
      </c>
      <c r="B13" s="3" t="s">
        <v>48</v>
      </c>
      <c r="C13" s="3" t="s">
        <v>46</v>
      </c>
      <c r="D13" s="3" t="s">
        <v>23</v>
      </c>
      <c r="E13" s="4">
        <v>4200</v>
      </c>
      <c r="F13" s="4">
        <v>6200</v>
      </c>
      <c r="G13" s="4">
        <v>5</v>
      </c>
      <c r="H13" s="4">
        <v>18</v>
      </c>
    </row>
    <row r="14" spans="1:8" x14ac:dyDescent="0.35">
      <c r="A14" s="3" t="s">
        <v>49</v>
      </c>
      <c r="B14" s="3" t="s">
        <v>50</v>
      </c>
      <c r="C14" s="3" t="s">
        <v>46</v>
      </c>
      <c r="D14" s="3" t="s">
        <v>23</v>
      </c>
      <c r="E14" s="4">
        <v>2800</v>
      </c>
      <c r="F14" s="4">
        <v>4200</v>
      </c>
      <c r="G14" s="4">
        <v>6</v>
      </c>
      <c r="H14" s="4">
        <v>15</v>
      </c>
    </row>
    <row r="15" spans="1:8" x14ac:dyDescent="0.35">
      <c r="A15" s="3" t="s">
        <v>51</v>
      </c>
      <c r="B15" s="3" t="s">
        <v>52</v>
      </c>
      <c r="C15" s="3" t="s">
        <v>46</v>
      </c>
      <c r="D15" s="3" t="s">
        <v>23</v>
      </c>
      <c r="E15" s="4">
        <v>650</v>
      </c>
      <c r="F15" s="4">
        <v>950</v>
      </c>
      <c r="G15" s="4">
        <v>15</v>
      </c>
      <c r="H15" s="4">
        <v>50</v>
      </c>
    </row>
    <row r="16" spans="1:8" x14ac:dyDescent="0.35">
      <c r="A16" s="3" t="s">
        <v>53</v>
      </c>
      <c r="B16" s="3" t="s">
        <v>54</v>
      </c>
      <c r="C16" s="3" t="s">
        <v>46</v>
      </c>
      <c r="D16" s="3" t="s">
        <v>23</v>
      </c>
      <c r="E16" s="4">
        <v>5800</v>
      </c>
      <c r="F16" s="4">
        <v>7800</v>
      </c>
      <c r="G16" s="4">
        <v>4</v>
      </c>
      <c r="H16" s="4">
        <v>12</v>
      </c>
    </row>
    <row r="17" spans="1:8" x14ac:dyDescent="0.35">
      <c r="A17" s="3" t="s">
        <v>55</v>
      </c>
      <c r="B17" s="3" t="s">
        <v>56</v>
      </c>
      <c r="C17" s="3" t="s">
        <v>57</v>
      </c>
      <c r="D17" s="3" t="s">
        <v>23</v>
      </c>
      <c r="E17" s="4">
        <v>120</v>
      </c>
      <c r="F17" s="4">
        <v>220</v>
      </c>
      <c r="G17" s="4">
        <v>40</v>
      </c>
      <c r="H17" s="4">
        <v>180</v>
      </c>
    </row>
    <row r="18" spans="1:8" x14ac:dyDescent="0.35">
      <c r="A18" s="3" t="s">
        <v>58</v>
      </c>
      <c r="B18" s="3" t="s">
        <v>59</v>
      </c>
      <c r="C18" s="3" t="s">
        <v>57</v>
      </c>
      <c r="D18" s="3" t="s">
        <v>23</v>
      </c>
      <c r="E18" s="4">
        <v>850</v>
      </c>
      <c r="F18" s="4">
        <v>1300</v>
      </c>
      <c r="G18" s="4">
        <v>15</v>
      </c>
      <c r="H18" s="4">
        <v>60</v>
      </c>
    </row>
    <row r="19" spans="1:8" x14ac:dyDescent="0.35">
      <c r="A19" s="3" t="s">
        <v>60</v>
      </c>
      <c r="B19" s="3" t="s">
        <v>61</v>
      </c>
      <c r="C19" s="3" t="s">
        <v>57</v>
      </c>
      <c r="D19" s="3" t="s">
        <v>23</v>
      </c>
      <c r="E19" s="4">
        <v>90</v>
      </c>
      <c r="F19" s="4">
        <v>180</v>
      </c>
      <c r="G19" s="4">
        <v>30</v>
      </c>
      <c r="H19" s="4">
        <v>140</v>
      </c>
    </row>
    <row r="20" spans="1:8" x14ac:dyDescent="0.35">
      <c r="A20" s="3" t="s">
        <v>62</v>
      </c>
      <c r="B20" s="3" t="s">
        <v>63</v>
      </c>
      <c r="C20" s="3" t="s">
        <v>22</v>
      </c>
      <c r="D20" s="3" t="s">
        <v>23</v>
      </c>
      <c r="E20" s="4">
        <v>950</v>
      </c>
      <c r="F20" s="4">
        <v>1450</v>
      </c>
      <c r="G20" s="4">
        <v>12</v>
      </c>
      <c r="H20" s="4">
        <v>55</v>
      </c>
    </row>
    <row r="21" spans="1:8" x14ac:dyDescent="0.35">
      <c r="A21" s="3" t="s">
        <v>64</v>
      </c>
      <c r="B21" s="3" t="s">
        <v>65</v>
      </c>
      <c r="C21" s="3" t="s">
        <v>22</v>
      </c>
      <c r="D21" s="3" t="s">
        <v>23</v>
      </c>
      <c r="E21" s="4">
        <v>1100</v>
      </c>
      <c r="F21" s="4">
        <v>1700</v>
      </c>
      <c r="G21" s="4">
        <v>10</v>
      </c>
      <c r="H21" s="4">
        <v>45</v>
      </c>
    </row>
    <row r="22" spans="1:8" x14ac:dyDescent="0.35">
      <c r="A22" s="3" t="s">
        <v>66</v>
      </c>
      <c r="B22" s="3" t="s">
        <v>67</v>
      </c>
      <c r="C22" s="3" t="s">
        <v>34</v>
      </c>
      <c r="D22" s="3" t="s">
        <v>23</v>
      </c>
      <c r="E22" s="4">
        <v>30</v>
      </c>
      <c r="F22" s="4">
        <v>55</v>
      </c>
      <c r="G22" s="4">
        <v>50</v>
      </c>
      <c r="H22" s="4">
        <v>250</v>
      </c>
    </row>
    <row r="23" spans="1:8" x14ac:dyDescent="0.35">
      <c r="A23" s="3" t="s">
        <v>68</v>
      </c>
      <c r="B23" s="3" t="s">
        <v>69</v>
      </c>
      <c r="C23" s="3" t="s">
        <v>22</v>
      </c>
      <c r="D23" s="3" t="s">
        <v>23</v>
      </c>
      <c r="E23" s="4">
        <v>350</v>
      </c>
      <c r="F23" s="4">
        <v>550</v>
      </c>
      <c r="G23" s="4">
        <v>20</v>
      </c>
      <c r="H23" s="4">
        <v>70</v>
      </c>
    </row>
    <row r="24" spans="1:8" x14ac:dyDescent="0.35">
      <c r="A24" s="3" t="s">
        <v>70</v>
      </c>
      <c r="B24" s="3" t="s">
        <v>71</v>
      </c>
      <c r="C24" s="3" t="s">
        <v>22</v>
      </c>
      <c r="D24" s="3" t="s">
        <v>23</v>
      </c>
      <c r="E24" s="4">
        <v>280</v>
      </c>
      <c r="F24" s="4">
        <v>450</v>
      </c>
      <c r="G24" s="4">
        <v>18</v>
      </c>
      <c r="H24" s="4">
        <v>90</v>
      </c>
    </row>
    <row r="25" spans="1:8" x14ac:dyDescent="0.35">
      <c r="A25" s="3" t="s">
        <v>72</v>
      </c>
      <c r="B25" s="3" t="s">
        <v>73</v>
      </c>
      <c r="C25" s="3" t="s">
        <v>34</v>
      </c>
      <c r="D25" s="3" t="s">
        <v>23</v>
      </c>
      <c r="E25" s="4">
        <v>18</v>
      </c>
      <c r="F25" s="4">
        <v>35</v>
      </c>
      <c r="G25" s="4">
        <v>60</v>
      </c>
      <c r="H25" s="4">
        <v>350</v>
      </c>
    </row>
    <row r="26" spans="1:8" x14ac:dyDescent="0.35">
      <c r="A26" s="3" t="s">
        <v>74</v>
      </c>
      <c r="B26" s="3" t="s">
        <v>75</v>
      </c>
      <c r="C26" s="3" t="s">
        <v>57</v>
      </c>
      <c r="D26" s="3" t="s">
        <v>23</v>
      </c>
      <c r="E26" s="4">
        <v>220</v>
      </c>
      <c r="F26" s="4">
        <v>380</v>
      </c>
      <c r="G26" s="4">
        <v>15</v>
      </c>
      <c r="H26" s="4">
        <v>85</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D7285-BDCE-4377-9875-C214377EC582}">
  <dimension ref="A1:G13"/>
  <sheetViews>
    <sheetView workbookViewId="0">
      <selection activeCell="B8" sqref="B8"/>
    </sheetView>
  </sheetViews>
  <sheetFormatPr defaultRowHeight="14.5" x14ac:dyDescent="0.35"/>
  <cols>
    <col min="1" max="1" width="17" customWidth="1"/>
    <col min="2" max="2" width="21.90625" bestFit="1" customWidth="1"/>
    <col min="3" max="3" width="18.6328125" customWidth="1"/>
    <col min="4" max="4" width="20.90625" customWidth="1"/>
    <col min="5" max="5" width="24.90625" customWidth="1"/>
    <col min="6" max="6" width="19.7265625" customWidth="1"/>
    <col min="7" max="7" width="13.453125" customWidth="1"/>
  </cols>
  <sheetData>
    <row r="1" spans="1:7" x14ac:dyDescent="0.35">
      <c r="A1" s="1" t="s">
        <v>8</v>
      </c>
      <c r="B1" s="1" t="s">
        <v>9</v>
      </c>
      <c r="C1" s="1" t="s">
        <v>10</v>
      </c>
      <c r="D1" s="1" t="s">
        <v>11</v>
      </c>
      <c r="E1" s="1" t="s">
        <v>12</v>
      </c>
      <c r="F1" s="1" t="s">
        <v>13</v>
      </c>
      <c r="G1" s="1" t="s">
        <v>14</v>
      </c>
    </row>
    <row r="2" spans="1:7" x14ac:dyDescent="0.35">
      <c r="A2" s="3" t="s">
        <v>76</v>
      </c>
      <c r="B2" s="3" t="s">
        <v>77</v>
      </c>
      <c r="C2" s="3" t="s">
        <v>78</v>
      </c>
      <c r="D2" s="3">
        <v>9876543210</v>
      </c>
      <c r="E2" s="5" t="s">
        <v>79</v>
      </c>
      <c r="F2" s="3" t="s">
        <v>80</v>
      </c>
      <c r="G2" s="3" t="s">
        <v>81</v>
      </c>
    </row>
    <row r="3" spans="1:7" x14ac:dyDescent="0.35">
      <c r="A3" s="3" t="s">
        <v>82</v>
      </c>
      <c r="B3" s="3" t="s">
        <v>83</v>
      </c>
      <c r="C3" s="3" t="s">
        <v>84</v>
      </c>
      <c r="D3" s="3">
        <v>9876543211</v>
      </c>
      <c r="E3" s="5" t="s">
        <v>85</v>
      </c>
      <c r="F3" s="3" t="s">
        <v>86</v>
      </c>
      <c r="G3" s="3" t="s">
        <v>87</v>
      </c>
    </row>
    <row r="4" spans="1:7" x14ac:dyDescent="0.35">
      <c r="A4" s="3" t="s">
        <v>88</v>
      </c>
      <c r="B4" s="3" t="s">
        <v>89</v>
      </c>
      <c r="C4" s="3" t="s">
        <v>90</v>
      </c>
      <c r="D4" s="3">
        <v>9876543212</v>
      </c>
      <c r="E4" s="5" t="s">
        <v>91</v>
      </c>
      <c r="F4" s="3" t="s">
        <v>92</v>
      </c>
      <c r="G4" s="3" t="s">
        <v>93</v>
      </c>
    </row>
    <row r="5" spans="1:7" x14ac:dyDescent="0.35">
      <c r="A5" s="3" t="s">
        <v>94</v>
      </c>
      <c r="B5" s="3" t="s">
        <v>95</v>
      </c>
      <c r="C5" s="3" t="s">
        <v>96</v>
      </c>
      <c r="D5" s="3">
        <v>9876543213</v>
      </c>
      <c r="E5" s="5" t="s">
        <v>97</v>
      </c>
      <c r="F5" s="3" t="s">
        <v>98</v>
      </c>
      <c r="G5" s="3" t="s">
        <v>99</v>
      </c>
    </row>
    <row r="6" spans="1:7" x14ac:dyDescent="0.35">
      <c r="A6" s="3" t="s">
        <v>100</v>
      </c>
      <c r="B6" s="3" t="s">
        <v>101</v>
      </c>
      <c r="C6" s="3" t="s">
        <v>102</v>
      </c>
      <c r="D6" s="3">
        <v>9876543214</v>
      </c>
      <c r="E6" s="5" t="s">
        <v>103</v>
      </c>
      <c r="F6" s="3" t="s">
        <v>104</v>
      </c>
      <c r="G6" s="3" t="s">
        <v>105</v>
      </c>
    </row>
    <row r="7" spans="1:7" x14ac:dyDescent="0.35">
      <c r="A7" s="3" t="s">
        <v>106</v>
      </c>
      <c r="B7" s="3" t="s">
        <v>107</v>
      </c>
      <c r="C7" s="3" t="s">
        <v>108</v>
      </c>
      <c r="D7" s="3">
        <v>9876543215</v>
      </c>
      <c r="E7" s="5" t="s">
        <v>109</v>
      </c>
      <c r="F7" s="3" t="s">
        <v>110</v>
      </c>
      <c r="G7" s="3" t="s">
        <v>111</v>
      </c>
    </row>
    <row r="8" spans="1:7" x14ac:dyDescent="0.35">
      <c r="A8" s="3" t="s">
        <v>112</v>
      </c>
      <c r="B8" s="3" t="s">
        <v>113</v>
      </c>
      <c r="C8" s="3" t="s">
        <v>114</v>
      </c>
      <c r="D8" s="3">
        <v>9876543216</v>
      </c>
      <c r="E8" s="5" t="s">
        <v>115</v>
      </c>
      <c r="F8" s="3" t="s">
        <v>116</v>
      </c>
      <c r="G8" s="3" t="s">
        <v>117</v>
      </c>
    </row>
    <row r="9" spans="1:7" x14ac:dyDescent="0.35">
      <c r="A9" s="3" t="s">
        <v>118</v>
      </c>
      <c r="B9" s="3" t="s">
        <v>119</v>
      </c>
      <c r="C9" s="3" t="s">
        <v>120</v>
      </c>
      <c r="D9" s="3">
        <v>9876543217</v>
      </c>
      <c r="E9" s="5" t="s">
        <v>121</v>
      </c>
      <c r="F9" s="3" t="s">
        <v>122</v>
      </c>
      <c r="G9" s="3" t="s">
        <v>81</v>
      </c>
    </row>
    <row r="10" spans="1:7" x14ac:dyDescent="0.35">
      <c r="A10" s="3" t="s">
        <v>123</v>
      </c>
      <c r="B10" s="3" t="s">
        <v>124</v>
      </c>
      <c r="C10" s="3" t="s">
        <v>125</v>
      </c>
      <c r="D10" s="3">
        <v>9876543218</v>
      </c>
      <c r="E10" s="5" t="s">
        <v>126</v>
      </c>
      <c r="F10" s="3" t="s">
        <v>127</v>
      </c>
      <c r="G10" s="3" t="s">
        <v>128</v>
      </c>
    </row>
    <row r="11" spans="1:7" x14ac:dyDescent="0.35">
      <c r="A11" s="3" t="s">
        <v>129</v>
      </c>
      <c r="B11" s="3" t="s">
        <v>130</v>
      </c>
      <c r="C11" s="3" t="s">
        <v>131</v>
      </c>
      <c r="D11" s="3">
        <v>9876543219</v>
      </c>
      <c r="E11" s="5" t="s">
        <v>132</v>
      </c>
      <c r="F11" s="3" t="s">
        <v>133</v>
      </c>
      <c r="G11" s="3" t="s">
        <v>134</v>
      </c>
    </row>
    <row r="12" spans="1:7" x14ac:dyDescent="0.35">
      <c r="A12" s="3" t="s">
        <v>135</v>
      </c>
      <c r="B12" s="3" t="s">
        <v>136</v>
      </c>
      <c r="C12" s="3" t="s">
        <v>137</v>
      </c>
      <c r="D12" s="3">
        <v>9876543220</v>
      </c>
      <c r="E12" s="5" t="s">
        <v>138</v>
      </c>
      <c r="F12" s="3" t="s">
        <v>139</v>
      </c>
      <c r="G12" s="3" t="s">
        <v>140</v>
      </c>
    </row>
    <row r="13" spans="1:7" x14ac:dyDescent="0.35">
      <c r="A13" s="3" t="s">
        <v>141</v>
      </c>
      <c r="B13" s="3" t="s">
        <v>142</v>
      </c>
      <c r="C13" s="3" t="s">
        <v>143</v>
      </c>
      <c r="D13" s="3">
        <v>9876543221</v>
      </c>
      <c r="E13" s="5" t="s">
        <v>144</v>
      </c>
      <c r="F13" s="3" t="s">
        <v>145</v>
      </c>
      <c r="G13" s="3" t="s">
        <v>146</v>
      </c>
    </row>
  </sheetData>
  <hyperlinks>
    <hyperlink ref="E2" r:id="rId1" display="mailto:sales@techsource.in" xr:uid="{8182F770-90CA-4F11-8941-FD65A0ED1372}"/>
    <hyperlink ref="E3" r:id="rId2" display="mailto:info@primeoffice.in" xr:uid="{18F2CA89-88A3-4540-8B2A-561323645556}"/>
    <hyperlink ref="E4" r:id="rId3" display="mailto:sales@metrotraders.in" xr:uid="{080E122A-6051-4F45-9A1A-6832FD23313E}"/>
    <hyperlink ref="E5" r:id="rId4" display="mailto:contact@eliteelectronics.in" xr:uid="{59BEA602-CE40-4F14-9592-1799847E9FAE}"/>
    <hyperlink ref="E6" r:id="rId5" display="mailto:support@brightstationers.in" xr:uid="{0E05A527-B3F0-4E54-B9C9-009BF8253360}"/>
    <hyperlink ref="E7" r:id="rId6" display="mailto:sales@officeworld.in" xr:uid="{4CE092E8-9596-4A93-8D65-273B6066D161}"/>
    <hyperlink ref="E8" r:id="rId7" display="mailto:info@smarttech.in" xr:uid="{FB49FEBF-3B82-4888-83AA-064F45E00113}"/>
    <hyperlink ref="E9" r:id="rId8" display="mailto:orders@urbanfurniture.in" xr:uid="{BD8070A6-7FB5-4E92-A483-FDB3A305FA31}"/>
    <hyperlink ref="E10" r:id="rId9" display="mailto:contact@alphaoffice.in" xr:uid="{73813CFD-0BFF-49C2-81F0-B5F714AF2249}"/>
    <hyperlink ref="E11" r:id="rId10" display="mailto:sales@nationalsupply.in" xr:uid="{F0112A66-EFE3-4D6A-828F-DD620FC96A63}"/>
    <hyperlink ref="E12" r:id="rId11" display="mailto:support@galaxywholesale.in" xr:uid="{FFD077C3-52F3-4052-88BA-654AC3A61C57}"/>
    <hyperlink ref="E13" r:id="rId12" display="mailto:hello@zenithsupplies.in" xr:uid="{C17494E9-9D91-49BA-9E74-70FEAAF05CCE}"/>
  </hyperlinks>
  <pageMargins left="0.7" right="0.7" top="0.75" bottom="0.75" header="0.3" footer="0.3"/>
  <tableParts count="1">
    <tablePart r:id="rId1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95759-330C-4DC4-9F5A-0A491B70FC44}">
  <dimension ref="A1:M103"/>
  <sheetViews>
    <sheetView topLeftCell="A83" workbookViewId="0">
      <selection activeCell="G14" sqref="G14:K103"/>
    </sheetView>
  </sheetViews>
  <sheetFormatPr defaultRowHeight="14.5" x14ac:dyDescent="0.35"/>
  <cols>
    <col min="1" max="1" width="15.7265625" customWidth="1"/>
    <col min="2" max="2" width="17.36328125" bestFit="1" customWidth="1"/>
    <col min="3" max="3" width="11" bestFit="1" customWidth="1"/>
    <col min="8" max="8" width="9.7265625" bestFit="1" customWidth="1"/>
    <col min="9" max="9" width="17.36328125" bestFit="1" customWidth="1"/>
    <col min="10" max="10" width="9.54296875" bestFit="1" customWidth="1"/>
  </cols>
  <sheetData>
    <row r="1" spans="1:13" x14ac:dyDescent="0.35">
      <c r="A1" s="1" t="s">
        <v>150</v>
      </c>
      <c r="B1" s="1" t="s">
        <v>151</v>
      </c>
      <c r="C1" s="1" t="s">
        <v>14</v>
      </c>
    </row>
    <row r="2" spans="1:13" x14ac:dyDescent="0.35">
      <c r="A2" s="3" t="s">
        <v>152</v>
      </c>
      <c r="B2" s="3" t="s">
        <v>153</v>
      </c>
      <c r="C2" s="3" t="s">
        <v>81</v>
      </c>
    </row>
    <row r="3" spans="1:13" x14ac:dyDescent="0.35">
      <c r="A3" s="3" t="s">
        <v>154</v>
      </c>
      <c r="B3" s="3" t="s">
        <v>155</v>
      </c>
      <c r="C3" s="3" t="s">
        <v>87</v>
      </c>
    </row>
    <row r="4" spans="1:13" x14ac:dyDescent="0.35">
      <c r="A4" s="3" t="s">
        <v>156</v>
      </c>
      <c r="B4" s="3" t="s">
        <v>157</v>
      </c>
      <c r="C4" s="3" t="s">
        <v>117</v>
      </c>
    </row>
    <row r="5" spans="1:13" x14ac:dyDescent="0.35">
      <c r="A5" s="3" t="s">
        <v>158</v>
      </c>
      <c r="B5" s="3" t="s">
        <v>159</v>
      </c>
      <c r="C5" s="3" t="s">
        <v>105</v>
      </c>
    </row>
    <row r="6" spans="1:13" x14ac:dyDescent="0.35">
      <c r="A6" s="3" t="s">
        <v>160</v>
      </c>
      <c r="B6" s="3" t="s">
        <v>161</v>
      </c>
      <c r="C6" s="3" t="s">
        <v>93</v>
      </c>
    </row>
    <row r="7" spans="1:13" x14ac:dyDescent="0.35">
      <c r="A7" s="3" t="s">
        <v>162</v>
      </c>
      <c r="B7" s="3" t="s">
        <v>163</v>
      </c>
      <c r="C7" s="3" t="s">
        <v>146</v>
      </c>
    </row>
    <row r="8" spans="1:13" x14ac:dyDescent="0.35">
      <c r="A8" s="3" t="s">
        <v>164</v>
      </c>
      <c r="B8" s="3" t="s">
        <v>165</v>
      </c>
      <c r="C8" s="3" t="s">
        <v>99</v>
      </c>
    </row>
    <row r="9" spans="1:13" x14ac:dyDescent="0.35">
      <c r="A9" s="3" t="s">
        <v>166</v>
      </c>
      <c r="B9" s="3" t="s">
        <v>167</v>
      </c>
      <c r="C9" s="3" t="s">
        <v>140</v>
      </c>
      <c r="I9" s="1" t="s">
        <v>178</v>
      </c>
      <c r="J9" s="1" t="s">
        <v>15</v>
      </c>
      <c r="K9" s="1" t="s">
        <v>16</v>
      </c>
      <c r="L9" s="1" t="s">
        <v>0</v>
      </c>
      <c r="M9" s="45" t="s">
        <v>18</v>
      </c>
    </row>
    <row r="10" spans="1:13" x14ac:dyDescent="0.35">
      <c r="A10" s="3" t="s">
        <v>168</v>
      </c>
      <c r="B10" s="3" t="s">
        <v>169</v>
      </c>
      <c r="C10" s="3" t="s">
        <v>128</v>
      </c>
      <c r="I10" s="3"/>
      <c r="J10" s="6"/>
      <c r="K10" s="3"/>
      <c r="L10" s="3"/>
      <c r="M10" s="4"/>
    </row>
    <row r="11" spans="1:13" x14ac:dyDescent="0.35">
      <c r="A11" s="3" t="s">
        <v>170</v>
      </c>
      <c r="B11" s="3" t="s">
        <v>171</v>
      </c>
      <c r="C11" s="3" t="s">
        <v>172</v>
      </c>
      <c r="I11" s="3"/>
      <c r="J11" s="6"/>
      <c r="K11" s="3"/>
      <c r="L11" s="3"/>
      <c r="M11" s="4"/>
    </row>
    <row r="12" spans="1:13" x14ac:dyDescent="0.35">
      <c r="I12" s="3"/>
      <c r="J12" s="6"/>
      <c r="K12" s="3"/>
      <c r="L12" s="3"/>
      <c r="M12" s="4"/>
    </row>
    <row r="13" spans="1:13" x14ac:dyDescent="0.35">
      <c r="G13" s="1" t="s">
        <v>209</v>
      </c>
      <c r="H13" s="1" t="s">
        <v>15</v>
      </c>
      <c r="I13" s="1" t="s">
        <v>147</v>
      </c>
      <c r="J13" s="1" t="s">
        <v>0</v>
      </c>
      <c r="K13" s="45" t="s">
        <v>148</v>
      </c>
      <c r="L13" s="3"/>
      <c r="M13" s="4"/>
    </row>
    <row r="14" spans="1:13" x14ac:dyDescent="0.35">
      <c r="G14" s="3" t="s">
        <v>269</v>
      </c>
      <c r="H14" s="6">
        <v>46079</v>
      </c>
      <c r="I14" s="3" t="s">
        <v>153</v>
      </c>
      <c r="J14" s="3" t="s">
        <v>26</v>
      </c>
      <c r="K14" s="4">
        <v>18</v>
      </c>
      <c r="L14" s="3"/>
      <c r="M14" s="4"/>
    </row>
    <row r="15" spans="1:13" x14ac:dyDescent="0.35">
      <c r="G15" s="3" t="s">
        <v>270</v>
      </c>
      <c r="H15" s="6">
        <v>46080</v>
      </c>
      <c r="I15" s="3" t="s">
        <v>155</v>
      </c>
      <c r="J15" s="3" t="s">
        <v>20</v>
      </c>
      <c r="K15" s="4">
        <v>12</v>
      </c>
      <c r="L15" s="3"/>
      <c r="M15" s="4"/>
    </row>
    <row r="16" spans="1:13" x14ac:dyDescent="0.35">
      <c r="G16" s="3" t="s">
        <v>271</v>
      </c>
      <c r="H16" s="6">
        <v>46081</v>
      </c>
      <c r="I16" s="3" t="s">
        <v>157</v>
      </c>
      <c r="J16" s="3" t="s">
        <v>39</v>
      </c>
      <c r="K16" s="4">
        <v>22</v>
      </c>
      <c r="L16" s="3"/>
      <c r="M16" s="4"/>
    </row>
    <row r="17" spans="7:13" x14ac:dyDescent="0.35">
      <c r="G17" s="3" t="s">
        <v>272</v>
      </c>
      <c r="H17" s="6">
        <v>46082</v>
      </c>
      <c r="I17" s="3" t="s">
        <v>159</v>
      </c>
      <c r="J17" s="3" t="s">
        <v>64</v>
      </c>
      <c r="K17" s="4">
        <v>5</v>
      </c>
      <c r="L17" s="3"/>
      <c r="M17" s="4"/>
    </row>
    <row r="18" spans="7:13" x14ac:dyDescent="0.35">
      <c r="G18" s="3" t="s">
        <v>273</v>
      </c>
      <c r="H18" s="6">
        <v>46083</v>
      </c>
      <c r="I18" s="3" t="s">
        <v>161</v>
      </c>
      <c r="J18" s="3" t="s">
        <v>44</v>
      </c>
      <c r="K18" s="4">
        <v>2</v>
      </c>
      <c r="L18" s="3"/>
      <c r="M18" s="4"/>
    </row>
    <row r="19" spans="7:13" x14ac:dyDescent="0.35">
      <c r="G19" s="3" t="s">
        <v>274</v>
      </c>
      <c r="H19" s="6">
        <v>46084</v>
      </c>
      <c r="I19" s="3" t="s">
        <v>163</v>
      </c>
      <c r="J19" s="3" t="s">
        <v>72</v>
      </c>
      <c r="K19" s="4">
        <v>90</v>
      </c>
      <c r="L19" s="3"/>
      <c r="M19" s="4"/>
    </row>
    <row r="20" spans="7:13" x14ac:dyDescent="0.35">
      <c r="G20" s="3" t="s">
        <v>275</v>
      </c>
      <c r="H20" s="6">
        <v>46085</v>
      </c>
      <c r="I20" s="3" t="s">
        <v>165</v>
      </c>
      <c r="J20" s="3" t="s">
        <v>32</v>
      </c>
      <c r="K20" s="4">
        <v>35</v>
      </c>
      <c r="L20" s="3"/>
      <c r="M20" s="4"/>
    </row>
    <row r="21" spans="7:13" x14ac:dyDescent="0.35">
      <c r="G21" s="3" t="s">
        <v>276</v>
      </c>
      <c r="H21" s="6">
        <v>46086</v>
      </c>
      <c r="I21" s="3" t="s">
        <v>167</v>
      </c>
      <c r="J21" s="3" t="s">
        <v>62</v>
      </c>
      <c r="K21" s="4">
        <v>8</v>
      </c>
      <c r="L21" s="3"/>
      <c r="M21" s="4"/>
    </row>
    <row r="22" spans="7:13" x14ac:dyDescent="0.35">
      <c r="G22" s="3" t="s">
        <v>277</v>
      </c>
      <c r="H22" s="6">
        <v>46087</v>
      </c>
      <c r="I22" s="3" t="s">
        <v>169</v>
      </c>
      <c r="J22" s="3" t="s">
        <v>58</v>
      </c>
      <c r="K22" s="4">
        <v>10</v>
      </c>
      <c r="L22" s="3"/>
      <c r="M22" s="4"/>
    </row>
    <row r="23" spans="7:13" x14ac:dyDescent="0.35">
      <c r="G23" s="3" t="s">
        <v>278</v>
      </c>
      <c r="H23" s="6">
        <v>46088</v>
      </c>
      <c r="I23" s="3" t="s">
        <v>171</v>
      </c>
      <c r="J23" s="3" t="s">
        <v>30</v>
      </c>
      <c r="K23" s="4">
        <v>20</v>
      </c>
      <c r="L23" s="3"/>
      <c r="M23" s="4"/>
    </row>
    <row r="24" spans="7:13" x14ac:dyDescent="0.35">
      <c r="G24" s="3" t="s">
        <v>279</v>
      </c>
      <c r="H24" s="6">
        <v>46089</v>
      </c>
      <c r="I24" s="3" t="s">
        <v>153</v>
      </c>
      <c r="J24" s="3" t="s">
        <v>70</v>
      </c>
      <c r="K24" s="4">
        <v>15</v>
      </c>
      <c r="L24" s="3"/>
      <c r="M24" s="4"/>
    </row>
    <row r="25" spans="7:13" x14ac:dyDescent="0.35">
      <c r="G25" s="3" t="s">
        <v>280</v>
      </c>
      <c r="H25" s="6">
        <v>46090</v>
      </c>
      <c r="I25" s="3" t="s">
        <v>155</v>
      </c>
      <c r="J25" s="3" t="s">
        <v>35</v>
      </c>
      <c r="K25" s="4">
        <v>85</v>
      </c>
      <c r="L25" s="3"/>
      <c r="M25" s="4"/>
    </row>
    <row r="26" spans="7:13" x14ac:dyDescent="0.35">
      <c r="G26" s="3" t="s">
        <v>281</v>
      </c>
      <c r="H26" s="6">
        <v>46091</v>
      </c>
      <c r="I26" s="3" t="s">
        <v>157</v>
      </c>
      <c r="J26" s="3" t="s">
        <v>55</v>
      </c>
      <c r="K26" s="4">
        <v>25</v>
      </c>
      <c r="L26" s="3"/>
      <c r="M26" s="4"/>
    </row>
    <row r="27" spans="7:13" x14ac:dyDescent="0.35">
      <c r="G27" s="3" t="s">
        <v>282</v>
      </c>
      <c r="H27" s="6">
        <v>46092</v>
      </c>
      <c r="I27" s="3" t="s">
        <v>159</v>
      </c>
      <c r="J27" s="3" t="s">
        <v>66</v>
      </c>
      <c r="K27" s="4">
        <v>40</v>
      </c>
      <c r="L27" s="3"/>
      <c r="M27" s="4"/>
    </row>
    <row r="28" spans="7:13" x14ac:dyDescent="0.35">
      <c r="G28" s="3" t="s">
        <v>283</v>
      </c>
      <c r="H28" s="6">
        <v>46093</v>
      </c>
      <c r="I28" s="3" t="s">
        <v>161</v>
      </c>
      <c r="J28" s="3" t="s">
        <v>51</v>
      </c>
      <c r="K28" s="4">
        <v>6</v>
      </c>
      <c r="L28" s="3"/>
      <c r="M28" s="4"/>
    </row>
    <row r="29" spans="7:13" x14ac:dyDescent="0.35">
      <c r="G29" s="3" t="s">
        <v>284</v>
      </c>
      <c r="H29" s="6">
        <v>46094</v>
      </c>
      <c r="I29" s="3" t="s">
        <v>163</v>
      </c>
      <c r="J29" s="3" t="s">
        <v>47</v>
      </c>
      <c r="K29" s="4">
        <v>2</v>
      </c>
      <c r="L29" s="3"/>
      <c r="M29" s="4"/>
    </row>
    <row r="30" spans="7:13" x14ac:dyDescent="0.35">
      <c r="G30" s="3" t="s">
        <v>285</v>
      </c>
      <c r="H30" s="6">
        <v>46095</v>
      </c>
      <c r="I30" s="3" t="s">
        <v>165</v>
      </c>
      <c r="J30" s="3" t="s">
        <v>42</v>
      </c>
      <c r="K30" s="4">
        <v>14</v>
      </c>
      <c r="L30" s="3"/>
      <c r="M30" s="4"/>
    </row>
    <row r="31" spans="7:13" x14ac:dyDescent="0.35">
      <c r="G31" s="3" t="s">
        <v>286</v>
      </c>
      <c r="H31" s="6">
        <v>46096</v>
      </c>
      <c r="I31" s="3" t="s">
        <v>167</v>
      </c>
      <c r="J31" s="3" t="s">
        <v>68</v>
      </c>
      <c r="K31" s="4">
        <v>9</v>
      </c>
      <c r="L31" s="3"/>
      <c r="M31" s="4"/>
    </row>
    <row r="32" spans="7:13" x14ac:dyDescent="0.35">
      <c r="G32" s="3" t="s">
        <v>287</v>
      </c>
      <c r="H32" s="6">
        <v>46097</v>
      </c>
      <c r="I32" s="3" t="s">
        <v>169</v>
      </c>
      <c r="J32" s="3" t="s">
        <v>20</v>
      </c>
      <c r="K32" s="4">
        <v>20</v>
      </c>
      <c r="L32" s="3"/>
      <c r="M32" s="4"/>
    </row>
    <row r="33" spans="7:13" x14ac:dyDescent="0.35">
      <c r="G33" s="3" t="s">
        <v>288</v>
      </c>
      <c r="H33" s="6">
        <v>46098</v>
      </c>
      <c r="I33" s="3" t="s">
        <v>171</v>
      </c>
      <c r="J33" s="3" t="s">
        <v>60</v>
      </c>
      <c r="K33" s="4">
        <v>30</v>
      </c>
      <c r="L33" s="3"/>
      <c r="M33" s="4"/>
    </row>
    <row r="34" spans="7:13" x14ac:dyDescent="0.35">
      <c r="G34" s="3" t="s">
        <v>289</v>
      </c>
      <c r="H34" s="6">
        <v>46099</v>
      </c>
      <c r="I34" s="3" t="s">
        <v>153</v>
      </c>
      <c r="J34" s="3" t="s">
        <v>28</v>
      </c>
      <c r="K34" s="4">
        <v>3</v>
      </c>
      <c r="L34" s="3"/>
      <c r="M34" s="4"/>
    </row>
    <row r="35" spans="7:13" x14ac:dyDescent="0.35">
      <c r="G35" s="3" t="s">
        <v>290</v>
      </c>
      <c r="H35" s="6">
        <v>46100</v>
      </c>
      <c r="I35" s="3" t="s">
        <v>155</v>
      </c>
      <c r="J35" s="3" t="s">
        <v>74</v>
      </c>
      <c r="K35" s="4">
        <v>18</v>
      </c>
      <c r="L35" s="3"/>
      <c r="M35" s="4"/>
    </row>
    <row r="36" spans="7:13" x14ac:dyDescent="0.35">
      <c r="G36" s="3" t="s">
        <v>291</v>
      </c>
      <c r="H36" s="6">
        <v>46101</v>
      </c>
      <c r="I36" s="3" t="s">
        <v>157</v>
      </c>
      <c r="J36" s="3" t="s">
        <v>49</v>
      </c>
      <c r="K36" s="4">
        <v>2</v>
      </c>
      <c r="L36" s="3"/>
      <c r="M36" s="4"/>
    </row>
    <row r="37" spans="7:13" x14ac:dyDescent="0.35">
      <c r="G37" s="3" t="s">
        <v>292</v>
      </c>
      <c r="H37" s="6">
        <v>46102</v>
      </c>
      <c r="I37" s="3" t="s">
        <v>159</v>
      </c>
      <c r="J37" s="3" t="s">
        <v>37</v>
      </c>
      <c r="K37" s="4">
        <v>12</v>
      </c>
      <c r="L37" s="3"/>
      <c r="M37" s="4"/>
    </row>
    <row r="38" spans="7:13" x14ac:dyDescent="0.35">
      <c r="G38" s="3" t="s">
        <v>293</v>
      </c>
      <c r="H38" s="6">
        <v>46103</v>
      </c>
      <c r="I38" s="3" t="s">
        <v>161</v>
      </c>
      <c r="J38" s="3" t="s">
        <v>24</v>
      </c>
      <c r="K38" s="4">
        <v>8</v>
      </c>
      <c r="L38" s="3"/>
      <c r="M38" s="4"/>
    </row>
    <row r="39" spans="7:13" x14ac:dyDescent="0.35">
      <c r="G39" s="3" t="s">
        <v>294</v>
      </c>
      <c r="H39" s="6">
        <v>46104</v>
      </c>
      <c r="I39" s="3" t="s">
        <v>163</v>
      </c>
      <c r="J39" s="3" t="s">
        <v>26</v>
      </c>
      <c r="K39" s="4">
        <v>24</v>
      </c>
      <c r="L39" s="3"/>
      <c r="M39" s="4"/>
    </row>
    <row r="40" spans="7:13" x14ac:dyDescent="0.35">
      <c r="G40" s="3" t="s">
        <v>295</v>
      </c>
      <c r="H40" s="6">
        <v>46105</v>
      </c>
      <c r="I40" s="3" t="s">
        <v>165</v>
      </c>
      <c r="J40" s="3" t="s">
        <v>72</v>
      </c>
      <c r="K40" s="4">
        <v>80</v>
      </c>
    </row>
    <row r="41" spans="7:13" x14ac:dyDescent="0.35">
      <c r="G41" s="3" t="s">
        <v>296</v>
      </c>
      <c r="H41" s="6">
        <v>46106</v>
      </c>
      <c r="I41" s="3" t="s">
        <v>167</v>
      </c>
      <c r="J41" s="3" t="s">
        <v>39</v>
      </c>
      <c r="K41" s="4">
        <v>16</v>
      </c>
    </row>
    <row r="42" spans="7:13" x14ac:dyDescent="0.35">
      <c r="G42" s="3" t="s">
        <v>297</v>
      </c>
      <c r="H42" s="6">
        <v>46107</v>
      </c>
      <c r="I42" s="3" t="s">
        <v>169</v>
      </c>
      <c r="J42" s="3" t="s">
        <v>64</v>
      </c>
      <c r="K42" s="4">
        <v>4</v>
      </c>
    </row>
    <row r="43" spans="7:13" x14ac:dyDescent="0.35">
      <c r="G43" s="3" t="s">
        <v>298</v>
      </c>
      <c r="H43" s="6">
        <v>46108</v>
      </c>
      <c r="I43" s="3" t="s">
        <v>171</v>
      </c>
      <c r="J43" s="3" t="s">
        <v>44</v>
      </c>
      <c r="K43" s="4">
        <v>2</v>
      </c>
    </row>
    <row r="44" spans="7:13" x14ac:dyDescent="0.35">
      <c r="G44" s="3" t="s">
        <v>299</v>
      </c>
      <c r="H44" s="6">
        <v>46109</v>
      </c>
      <c r="I44" s="3" t="s">
        <v>153</v>
      </c>
      <c r="J44" s="3" t="s">
        <v>32</v>
      </c>
      <c r="K44" s="4">
        <v>28</v>
      </c>
    </row>
    <row r="45" spans="7:13" x14ac:dyDescent="0.35">
      <c r="G45" s="3" t="s">
        <v>300</v>
      </c>
      <c r="H45" s="6">
        <v>46110</v>
      </c>
      <c r="I45" s="3" t="s">
        <v>155</v>
      </c>
      <c r="J45" s="3" t="s">
        <v>66</v>
      </c>
      <c r="K45" s="4">
        <v>35</v>
      </c>
    </row>
    <row r="46" spans="7:13" x14ac:dyDescent="0.35">
      <c r="G46" s="3" t="s">
        <v>301</v>
      </c>
      <c r="H46" s="6">
        <v>46111</v>
      </c>
      <c r="I46" s="3" t="s">
        <v>157</v>
      </c>
      <c r="J46" s="3" t="s">
        <v>20</v>
      </c>
      <c r="K46" s="4">
        <v>15</v>
      </c>
    </row>
    <row r="47" spans="7:13" x14ac:dyDescent="0.35">
      <c r="G47" s="3" t="s">
        <v>302</v>
      </c>
      <c r="H47" s="6">
        <v>46112</v>
      </c>
      <c r="I47" s="3" t="s">
        <v>159</v>
      </c>
      <c r="J47" s="3" t="s">
        <v>58</v>
      </c>
      <c r="K47" s="4">
        <v>9</v>
      </c>
    </row>
    <row r="48" spans="7:13" x14ac:dyDescent="0.35">
      <c r="G48" s="3" t="s">
        <v>303</v>
      </c>
      <c r="H48" s="6">
        <v>46113</v>
      </c>
      <c r="I48" s="3" t="s">
        <v>161</v>
      </c>
      <c r="J48" s="3" t="s">
        <v>55</v>
      </c>
      <c r="K48" s="4">
        <v>30</v>
      </c>
    </row>
    <row r="49" spans="7:11" x14ac:dyDescent="0.35">
      <c r="G49" s="3" t="s">
        <v>304</v>
      </c>
      <c r="H49" s="6">
        <v>46114</v>
      </c>
      <c r="I49" s="3" t="s">
        <v>163</v>
      </c>
      <c r="J49" s="3" t="s">
        <v>70</v>
      </c>
      <c r="K49" s="4">
        <v>18</v>
      </c>
    </row>
    <row r="50" spans="7:11" x14ac:dyDescent="0.35">
      <c r="G50" s="3" t="s">
        <v>305</v>
      </c>
      <c r="H50" s="6">
        <v>46115</v>
      </c>
      <c r="I50" s="3" t="s">
        <v>165</v>
      </c>
      <c r="J50" s="3" t="s">
        <v>30</v>
      </c>
      <c r="K50" s="4">
        <v>24</v>
      </c>
    </row>
    <row r="51" spans="7:11" x14ac:dyDescent="0.35">
      <c r="G51" s="3" t="s">
        <v>306</v>
      </c>
      <c r="H51" s="6">
        <v>46116</v>
      </c>
      <c r="I51" s="3" t="s">
        <v>167</v>
      </c>
      <c r="J51" s="3" t="s">
        <v>35</v>
      </c>
      <c r="K51" s="4">
        <v>95</v>
      </c>
    </row>
    <row r="52" spans="7:11" x14ac:dyDescent="0.35">
      <c r="G52" s="3" t="s">
        <v>307</v>
      </c>
      <c r="H52" s="6">
        <v>46117</v>
      </c>
      <c r="I52" s="3" t="s">
        <v>169</v>
      </c>
      <c r="J52" s="3" t="s">
        <v>51</v>
      </c>
      <c r="K52" s="4">
        <v>10</v>
      </c>
    </row>
    <row r="53" spans="7:11" x14ac:dyDescent="0.35">
      <c r="G53" s="3" t="s">
        <v>308</v>
      </c>
      <c r="H53" s="6">
        <v>46118</v>
      </c>
      <c r="I53" s="3" t="s">
        <v>171</v>
      </c>
      <c r="J53" s="3" t="s">
        <v>68</v>
      </c>
      <c r="K53" s="4">
        <v>11</v>
      </c>
    </row>
    <row r="54" spans="7:11" x14ac:dyDescent="0.35">
      <c r="G54" s="3" t="s">
        <v>309</v>
      </c>
      <c r="H54" s="6">
        <v>46119</v>
      </c>
      <c r="I54" s="3" t="s">
        <v>153</v>
      </c>
      <c r="J54" s="3" t="s">
        <v>26</v>
      </c>
      <c r="K54" s="4">
        <v>20</v>
      </c>
    </row>
    <row r="55" spans="7:11" x14ac:dyDescent="0.35">
      <c r="G55" s="3" t="s">
        <v>310</v>
      </c>
      <c r="H55" s="6">
        <v>46120</v>
      </c>
      <c r="I55" s="3" t="s">
        <v>155</v>
      </c>
      <c r="J55" s="3" t="s">
        <v>72</v>
      </c>
      <c r="K55" s="4">
        <v>85</v>
      </c>
    </row>
    <row r="56" spans="7:11" x14ac:dyDescent="0.35">
      <c r="G56" s="3" t="s">
        <v>311</v>
      </c>
      <c r="H56" s="6">
        <v>46121</v>
      </c>
      <c r="I56" s="3" t="s">
        <v>157</v>
      </c>
      <c r="J56" s="3" t="s">
        <v>62</v>
      </c>
      <c r="K56" s="4">
        <v>6</v>
      </c>
    </row>
    <row r="57" spans="7:11" x14ac:dyDescent="0.35">
      <c r="G57" s="3" t="s">
        <v>312</v>
      </c>
      <c r="H57" s="6">
        <v>46122</v>
      </c>
      <c r="I57" s="3" t="s">
        <v>159</v>
      </c>
      <c r="J57" s="3" t="s">
        <v>42</v>
      </c>
      <c r="K57" s="4">
        <v>12</v>
      </c>
    </row>
    <row r="58" spans="7:11" x14ac:dyDescent="0.35">
      <c r="G58" s="3" t="s">
        <v>313</v>
      </c>
      <c r="H58" s="6">
        <v>46123</v>
      </c>
      <c r="I58" s="3" t="s">
        <v>161</v>
      </c>
      <c r="J58" s="3" t="s">
        <v>47</v>
      </c>
      <c r="K58" s="4">
        <v>3</v>
      </c>
    </row>
    <row r="59" spans="7:11" x14ac:dyDescent="0.35">
      <c r="G59" s="3" t="s">
        <v>314</v>
      </c>
      <c r="H59" s="6">
        <v>46124</v>
      </c>
      <c r="I59" s="3" t="s">
        <v>163</v>
      </c>
      <c r="J59" s="3" t="s">
        <v>60</v>
      </c>
      <c r="K59" s="4">
        <v>25</v>
      </c>
    </row>
    <row r="60" spans="7:11" x14ac:dyDescent="0.35">
      <c r="G60" s="3" t="s">
        <v>315</v>
      </c>
      <c r="H60" s="6">
        <v>46125</v>
      </c>
      <c r="I60" s="3" t="s">
        <v>165</v>
      </c>
      <c r="J60" s="3" t="s">
        <v>64</v>
      </c>
      <c r="K60" s="4">
        <v>7</v>
      </c>
    </row>
    <row r="61" spans="7:11" x14ac:dyDescent="0.35">
      <c r="G61" s="3" t="s">
        <v>316</v>
      </c>
      <c r="H61" s="6">
        <v>46126</v>
      </c>
      <c r="I61" s="3" t="s">
        <v>167</v>
      </c>
      <c r="J61" s="3" t="s">
        <v>37</v>
      </c>
      <c r="K61" s="4">
        <v>10</v>
      </c>
    </row>
    <row r="62" spans="7:11" x14ac:dyDescent="0.35">
      <c r="G62" s="3" t="s">
        <v>317</v>
      </c>
      <c r="H62" s="6">
        <v>46127</v>
      </c>
      <c r="I62" s="3" t="s">
        <v>169</v>
      </c>
      <c r="J62" s="3" t="s">
        <v>20</v>
      </c>
      <c r="K62" s="4">
        <v>18</v>
      </c>
    </row>
    <row r="63" spans="7:11" x14ac:dyDescent="0.35">
      <c r="G63" s="3" t="s">
        <v>318</v>
      </c>
      <c r="H63" s="6">
        <v>46128</v>
      </c>
      <c r="I63" s="3" t="s">
        <v>171</v>
      </c>
      <c r="J63" s="3" t="s">
        <v>66</v>
      </c>
      <c r="K63" s="4">
        <v>45</v>
      </c>
    </row>
    <row r="64" spans="7:11" x14ac:dyDescent="0.35">
      <c r="G64" s="3" t="s">
        <v>319</v>
      </c>
      <c r="H64" s="6">
        <v>46129</v>
      </c>
      <c r="I64" s="3" t="s">
        <v>153</v>
      </c>
      <c r="J64" s="3" t="s">
        <v>39</v>
      </c>
      <c r="K64" s="4">
        <v>20</v>
      </c>
    </row>
    <row r="65" spans="7:11" x14ac:dyDescent="0.35">
      <c r="G65" s="3" t="s">
        <v>320</v>
      </c>
      <c r="H65" s="6">
        <v>46130</v>
      </c>
      <c r="I65" s="3" t="s">
        <v>155</v>
      </c>
      <c r="J65" s="3" t="s">
        <v>32</v>
      </c>
      <c r="K65" s="4">
        <v>30</v>
      </c>
    </row>
    <row r="66" spans="7:11" x14ac:dyDescent="0.35">
      <c r="G66" s="3" t="s">
        <v>321</v>
      </c>
      <c r="H66" s="6">
        <v>46131</v>
      </c>
      <c r="I66" s="3" t="s">
        <v>157</v>
      </c>
      <c r="J66" s="3" t="s">
        <v>58</v>
      </c>
      <c r="K66" s="4">
        <v>11</v>
      </c>
    </row>
    <row r="67" spans="7:11" x14ac:dyDescent="0.35">
      <c r="G67" s="3" t="s">
        <v>322</v>
      </c>
      <c r="H67" s="6">
        <v>46132</v>
      </c>
      <c r="I67" s="3" t="s">
        <v>159</v>
      </c>
      <c r="J67" s="3" t="s">
        <v>28</v>
      </c>
      <c r="K67" s="4">
        <v>2</v>
      </c>
    </row>
    <row r="68" spans="7:11" x14ac:dyDescent="0.35">
      <c r="G68" s="3" t="s">
        <v>323</v>
      </c>
      <c r="H68" s="6">
        <v>46133</v>
      </c>
      <c r="I68" s="3" t="s">
        <v>161</v>
      </c>
      <c r="J68" s="3" t="s">
        <v>49</v>
      </c>
      <c r="K68" s="4">
        <v>2</v>
      </c>
    </row>
    <row r="69" spans="7:11" x14ac:dyDescent="0.35">
      <c r="G69" s="3" t="s">
        <v>324</v>
      </c>
      <c r="H69" s="6">
        <v>46134</v>
      </c>
      <c r="I69" s="3" t="s">
        <v>163</v>
      </c>
      <c r="J69" s="3" t="s">
        <v>51</v>
      </c>
      <c r="K69" s="4">
        <v>8</v>
      </c>
    </row>
    <row r="70" spans="7:11" x14ac:dyDescent="0.35">
      <c r="G70" s="3" t="s">
        <v>325</v>
      </c>
      <c r="H70" s="6">
        <v>46135</v>
      </c>
      <c r="I70" s="3" t="s">
        <v>165</v>
      </c>
      <c r="J70" s="3" t="s">
        <v>74</v>
      </c>
      <c r="K70" s="4">
        <v>20</v>
      </c>
    </row>
    <row r="71" spans="7:11" x14ac:dyDescent="0.35">
      <c r="G71" s="3" t="s">
        <v>326</v>
      </c>
      <c r="H71" s="6">
        <v>46136</v>
      </c>
      <c r="I71" s="3" t="s">
        <v>167</v>
      </c>
      <c r="J71" s="3" t="s">
        <v>70</v>
      </c>
      <c r="K71" s="4">
        <v>15</v>
      </c>
    </row>
    <row r="72" spans="7:11" x14ac:dyDescent="0.35">
      <c r="G72" s="3" t="s">
        <v>327</v>
      </c>
      <c r="H72" s="6">
        <v>46137</v>
      </c>
      <c r="I72" s="3" t="s">
        <v>169</v>
      </c>
      <c r="J72" s="3" t="s">
        <v>35</v>
      </c>
      <c r="K72" s="4">
        <v>100</v>
      </c>
    </row>
    <row r="73" spans="7:11" x14ac:dyDescent="0.35">
      <c r="G73" s="3" t="s">
        <v>328</v>
      </c>
      <c r="H73" s="6">
        <v>46138</v>
      </c>
      <c r="I73" s="3" t="s">
        <v>171</v>
      </c>
      <c r="J73" s="3" t="s">
        <v>30</v>
      </c>
      <c r="K73" s="4">
        <v>22</v>
      </c>
    </row>
    <row r="74" spans="7:11" x14ac:dyDescent="0.35">
      <c r="G74" s="3" t="s">
        <v>329</v>
      </c>
      <c r="H74" s="6">
        <v>46139</v>
      </c>
      <c r="I74" s="3" t="s">
        <v>153</v>
      </c>
      <c r="J74" s="3" t="s">
        <v>44</v>
      </c>
      <c r="K74" s="4">
        <v>2</v>
      </c>
    </row>
    <row r="75" spans="7:11" x14ac:dyDescent="0.35">
      <c r="G75" s="3" t="s">
        <v>330</v>
      </c>
      <c r="H75" s="6">
        <v>46140</v>
      </c>
      <c r="I75" s="3" t="s">
        <v>155</v>
      </c>
      <c r="J75" s="3" t="s">
        <v>64</v>
      </c>
      <c r="K75" s="4">
        <v>6</v>
      </c>
    </row>
    <row r="76" spans="7:11" x14ac:dyDescent="0.35">
      <c r="G76" s="3" t="s">
        <v>331</v>
      </c>
      <c r="H76" s="6">
        <v>46141</v>
      </c>
      <c r="I76" s="3" t="s">
        <v>157</v>
      </c>
      <c r="J76" s="3" t="s">
        <v>60</v>
      </c>
      <c r="K76" s="4">
        <v>20</v>
      </c>
    </row>
    <row r="77" spans="7:11" x14ac:dyDescent="0.35">
      <c r="G77" s="3" t="s">
        <v>332</v>
      </c>
      <c r="H77" s="6">
        <v>46142</v>
      </c>
      <c r="I77" s="3" t="s">
        <v>159</v>
      </c>
      <c r="J77" s="3" t="s">
        <v>72</v>
      </c>
      <c r="K77" s="4">
        <v>75</v>
      </c>
    </row>
    <row r="78" spans="7:11" x14ac:dyDescent="0.35">
      <c r="G78" s="3" t="s">
        <v>333</v>
      </c>
      <c r="H78" s="6">
        <v>46143</v>
      </c>
      <c r="I78" s="3" t="s">
        <v>161</v>
      </c>
      <c r="J78" s="3" t="s">
        <v>24</v>
      </c>
      <c r="K78" s="4">
        <v>7</v>
      </c>
    </row>
    <row r="79" spans="7:11" x14ac:dyDescent="0.35">
      <c r="G79" s="3" t="s">
        <v>334</v>
      </c>
      <c r="H79" s="6">
        <v>46144</v>
      </c>
      <c r="I79" s="3" t="s">
        <v>163</v>
      </c>
      <c r="J79" s="3" t="s">
        <v>26</v>
      </c>
      <c r="K79" s="4">
        <v>22</v>
      </c>
    </row>
    <row r="80" spans="7:11" x14ac:dyDescent="0.35">
      <c r="G80" s="3" t="s">
        <v>335</v>
      </c>
      <c r="H80" s="6">
        <v>46145</v>
      </c>
      <c r="I80" s="3" t="s">
        <v>165</v>
      </c>
      <c r="J80" s="3" t="s">
        <v>55</v>
      </c>
      <c r="K80" s="4">
        <v>35</v>
      </c>
    </row>
    <row r="81" spans="7:11" x14ac:dyDescent="0.35">
      <c r="G81" s="3" t="s">
        <v>336</v>
      </c>
      <c r="H81" s="6">
        <v>46146</v>
      </c>
      <c r="I81" s="3" t="s">
        <v>167</v>
      </c>
      <c r="J81" s="3" t="s">
        <v>66</v>
      </c>
      <c r="K81" s="4">
        <v>50</v>
      </c>
    </row>
    <row r="82" spans="7:11" x14ac:dyDescent="0.35">
      <c r="G82" s="3" t="s">
        <v>337</v>
      </c>
      <c r="H82" s="6">
        <v>46147</v>
      </c>
      <c r="I82" s="3" t="s">
        <v>169</v>
      </c>
      <c r="J82" s="3" t="s">
        <v>39</v>
      </c>
      <c r="K82" s="4">
        <v>18</v>
      </c>
    </row>
    <row r="83" spans="7:11" x14ac:dyDescent="0.35">
      <c r="G83" s="3" t="s">
        <v>338</v>
      </c>
      <c r="H83" s="6">
        <v>46148</v>
      </c>
      <c r="I83" s="3" t="s">
        <v>171</v>
      </c>
      <c r="J83" s="3" t="s">
        <v>68</v>
      </c>
      <c r="K83" s="4">
        <v>10</v>
      </c>
    </row>
    <row r="84" spans="7:11" x14ac:dyDescent="0.35">
      <c r="G84" s="3" t="s">
        <v>339</v>
      </c>
      <c r="H84" s="6">
        <v>46149</v>
      </c>
      <c r="I84" s="3" t="s">
        <v>153</v>
      </c>
      <c r="J84" s="3" t="s">
        <v>20</v>
      </c>
      <c r="K84" s="4">
        <v>15</v>
      </c>
    </row>
    <row r="85" spans="7:11" x14ac:dyDescent="0.35">
      <c r="G85" s="3" t="s">
        <v>340</v>
      </c>
      <c r="H85" s="6">
        <v>46150</v>
      </c>
      <c r="I85" s="3" t="s">
        <v>155</v>
      </c>
      <c r="J85" s="3" t="s">
        <v>58</v>
      </c>
      <c r="K85" s="4">
        <v>8</v>
      </c>
    </row>
    <row r="86" spans="7:11" x14ac:dyDescent="0.35">
      <c r="G86" s="3" t="s">
        <v>341</v>
      </c>
      <c r="H86" s="6">
        <v>46151</v>
      </c>
      <c r="I86" s="3" t="s">
        <v>157</v>
      </c>
      <c r="J86" s="3" t="s">
        <v>62</v>
      </c>
      <c r="K86" s="4">
        <v>5</v>
      </c>
    </row>
    <row r="87" spans="7:11" x14ac:dyDescent="0.35">
      <c r="G87" s="3" t="s">
        <v>342</v>
      </c>
      <c r="H87" s="6">
        <v>46152</v>
      </c>
      <c r="I87" s="3" t="s">
        <v>159</v>
      </c>
      <c r="J87" s="3" t="s">
        <v>42</v>
      </c>
      <c r="K87" s="4">
        <v>15</v>
      </c>
    </row>
    <row r="88" spans="7:11" x14ac:dyDescent="0.35">
      <c r="G88" s="3" t="s">
        <v>343</v>
      </c>
      <c r="H88" s="6">
        <v>46153</v>
      </c>
      <c r="I88" s="3" t="s">
        <v>161</v>
      </c>
      <c r="J88" s="3" t="s">
        <v>32</v>
      </c>
      <c r="K88" s="4">
        <v>40</v>
      </c>
    </row>
    <row r="89" spans="7:11" x14ac:dyDescent="0.35">
      <c r="G89" s="3" t="s">
        <v>344</v>
      </c>
      <c r="H89" s="6">
        <v>46154</v>
      </c>
      <c r="I89" s="3" t="s">
        <v>163</v>
      </c>
      <c r="J89" s="3" t="s">
        <v>35</v>
      </c>
      <c r="K89" s="4">
        <v>80</v>
      </c>
    </row>
    <row r="90" spans="7:11" x14ac:dyDescent="0.35">
      <c r="G90" s="3" t="s">
        <v>345</v>
      </c>
      <c r="H90" s="6">
        <v>46155</v>
      </c>
      <c r="I90" s="3" t="s">
        <v>165</v>
      </c>
      <c r="J90" s="3" t="s">
        <v>30</v>
      </c>
      <c r="K90" s="4">
        <v>18</v>
      </c>
    </row>
    <row r="91" spans="7:11" x14ac:dyDescent="0.35">
      <c r="G91" s="3" t="s">
        <v>346</v>
      </c>
      <c r="H91" s="6">
        <v>46156</v>
      </c>
      <c r="I91" s="3" t="s">
        <v>167</v>
      </c>
      <c r="J91" s="3" t="s">
        <v>72</v>
      </c>
      <c r="K91" s="4">
        <v>90</v>
      </c>
    </row>
    <row r="92" spans="7:11" x14ac:dyDescent="0.35">
      <c r="G92" s="3" t="s">
        <v>347</v>
      </c>
      <c r="H92" s="6">
        <v>46157</v>
      </c>
      <c r="I92" s="3" t="s">
        <v>169</v>
      </c>
      <c r="J92" s="3" t="s">
        <v>70</v>
      </c>
      <c r="K92" s="4">
        <v>20</v>
      </c>
    </row>
    <row r="93" spans="7:11" x14ac:dyDescent="0.35">
      <c r="G93" s="3" t="s">
        <v>348</v>
      </c>
      <c r="H93" s="6">
        <v>46158</v>
      </c>
      <c r="I93" s="3" t="s">
        <v>171</v>
      </c>
      <c r="J93" s="3" t="s">
        <v>55</v>
      </c>
      <c r="K93" s="4">
        <v>25</v>
      </c>
    </row>
    <row r="94" spans="7:11" x14ac:dyDescent="0.35">
      <c r="G94" s="3" t="s">
        <v>349</v>
      </c>
      <c r="H94" s="6">
        <v>46159</v>
      </c>
      <c r="I94" s="3" t="s">
        <v>153</v>
      </c>
      <c r="J94" s="3" t="s">
        <v>26</v>
      </c>
      <c r="K94" s="4">
        <v>16</v>
      </c>
    </row>
    <row r="95" spans="7:11" x14ac:dyDescent="0.35">
      <c r="G95" s="3" t="s">
        <v>350</v>
      </c>
      <c r="H95" s="6">
        <v>46160</v>
      </c>
      <c r="I95" s="3" t="s">
        <v>155</v>
      </c>
      <c r="J95" s="3" t="s">
        <v>64</v>
      </c>
      <c r="K95" s="4">
        <v>5</v>
      </c>
    </row>
    <row r="96" spans="7:11" x14ac:dyDescent="0.35">
      <c r="G96" s="3" t="s">
        <v>351</v>
      </c>
      <c r="H96" s="6">
        <v>46161</v>
      </c>
      <c r="I96" s="3" t="s">
        <v>157</v>
      </c>
      <c r="J96" s="3" t="s">
        <v>51</v>
      </c>
      <c r="K96" s="4">
        <v>9</v>
      </c>
    </row>
    <row r="97" spans="7:11" x14ac:dyDescent="0.35">
      <c r="G97" s="3" t="s">
        <v>352</v>
      </c>
      <c r="H97" s="6">
        <v>46162</v>
      </c>
      <c r="I97" s="3" t="s">
        <v>159</v>
      </c>
      <c r="J97" s="3" t="s">
        <v>37</v>
      </c>
      <c r="K97" s="4">
        <v>11</v>
      </c>
    </row>
    <row r="98" spans="7:11" x14ac:dyDescent="0.35">
      <c r="G98" s="3" t="s">
        <v>353</v>
      </c>
      <c r="H98" s="6">
        <v>46163</v>
      </c>
      <c r="I98" s="3" t="s">
        <v>161</v>
      </c>
      <c r="J98" s="3" t="s">
        <v>66</v>
      </c>
      <c r="K98" s="4">
        <v>42</v>
      </c>
    </row>
    <row r="99" spans="7:11" x14ac:dyDescent="0.35">
      <c r="G99" s="3" t="s">
        <v>354</v>
      </c>
      <c r="H99" s="6">
        <v>46164</v>
      </c>
      <c r="I99" s="3" t="s">
        <v>163</v>
      </c>
      <c r="J99" s="3" t="s">
        <v>74</v>
      </c>
      <c r="K99" s="4">
        <v>18</v>
      </c>
    </row>
    <row r="100" spans="7:11" x14ac:dyDescent="0.35">
      <c r="G100" s="3" t="s">
        <v>355</v>
      </c>
      <c r="H100" s="6">
        <v>46165</v>
      </c>
      <c r="I100" s="3" t="s">
        <v>165</v>
      </c>
      <c r="J100" s="3" t="s">
        <v>68</v>
      </c>
      <c r="K100" s="4">
        <v>10</v>
      </c>
    </row>
    <row r="101" spans="7:11" x14ac:dyDescent="0.35">
      <c r="G101" s="3" t="s">
        <v>356</v>
      </c>
      <c r="H101" s="6">
        <v>46166</v>
      </c>
      <c r="I101" s="3" t="s">
        <v>167</v>
      </c>
      <c r="J101" s="3" t="s">
        <v>39</v>
      </c>
      <c r="K101" s="4">
        <v>17</v>
      </c>
    </row>
    <row r="102" spans="7:11" x14ac:dyDescent="0.35">
      <c r="G102" s="3" t="s">
        <v>357</v>
      </c>
      <c r="H102" s="6">
        <v>46167</v>
      </c>
      <c r="I102" s="3" t="s">
        <v>169</v>
      </c>
      <c r="J102" s="3" t="s">
        <v>20</v>
      </c>
      <c r="K102" s="4">
        <v>14</v>
      </c>
    </row>
    <row r="103" spans="7:11" x14ac:dyDescent="0.35">
      <c r="G103" s="3" t="s">
        <v>358</v>
      </c>
      <c r="H103" s="6">
        <v>46168</v>
      </c>
      <c r="I103" s="3" t="s">
        <v>171</v>
      </c>
      <c r="J103" s="3" t="s">
        <v>58</v>
      </c>
      <c r="K103" s="4">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Calculations</vt:lpstr>
      <vt:lpstr>Pivot Table</vt:lpstr>
      <vt:lpstr>Purchase Orders</vt:lpstr>
      <vt:lpstr>Sales</vt:lpstr>
      <vt:lpstr>Inventory Report</vt:lpstr>
      <vt:lpstr>Products</vt:lpstr>
      <vt:lpstr>Suppliers</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Vipin Kandari</dc:creator>
  <cp:lastModifiedBy>Vipin Kandari</cp:lastModifiedBy>
  <cp:lastPrinted>2026-07-22T07:59:12Z</cp:lastPrinted>
  <dcterms:created xsi:type="dcterms:W3CDTF">2026-07-21T16:08:17Z</dcterms:created>
  <dcterms:modified xsi:type="dcterms:W3CDTF">2026-07-22T08:00:55Z</dcterms:modified>
</cp:coreProperties>
</file>